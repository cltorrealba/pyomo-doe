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nchaytoro365-my.sharepoint.com/personal/cristobal_torrealba_conchaytoro_cl/Documents/Documentos/Doctorado/Artículos/Artículo - Estimación_dFBA/pyomo-doe/fermentation_model/data/"/>
    </mc:Choice>
  </mc:AlternateContent>
  <xr:revisionPtr revIDLastSave="84" documentId="11_4C455E3218D4465F0144A818556F174B3BE4264E" xr6:coauthVersionLast="47" xr6:coauthVersionMax="47" xr10:uidLastSave="{746D9BAD-54A5-47D2-8E06-1AF2FC7D295D}"/>
  <bookViews>
    <workbookView xWindow="-120" yWindow="-120" windowWidth="29040" windowHeight="15720" activeTab="11" xr2:uid="{00000000-000D-0000-FFFF-FFFF00000000}"/>
  </bookViews>
  <sheets>
    <sheet name="00_Resumen" sheetId="1" r:id="rId1"/>
    <sheet name="Datos_homologados" sheetId="2" r:id="rId2"/>
    <sheet name="MS007" sheetId="3" r:id="rId3"/>
    <sheet name="MS008" sheetId="4" r:id="rId4"/>
    <sheet name="MS009" sheetId="5" r:id="rId5"/>
    <sheet name="MS010" sheetId="6" r:id="rId6"/>
    <sheet name="MS011" sheetId="7" r:id="rId7"/>
    <sheet name="MS012" sheetId="8" r:id="rId8"/>
    <sheet name="MS013" sheetId="9" r:id="rId9"/>
    <sheet name="MS014" sheetId="10" r:id="rId10"/>
    <sheet name="MS015" sheetId="11" r:id="rId11"/>
    <sheet name="MS016" sheetId="12" r:id="rId12"/>
    <sheet name="Diseño_CCD" sheetId="13" r:id="rId13"/>
    <sheet name="Datos_originales" sheetId="14" r:id="rId14"/>
    <sheet name="Flags_calidad" sheetId="15" r:id="rId15"/>
    <sheet name="Diccionario_mapeo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2" l="1"/>
  <c r="B6" i="11"/>
  <c r="B6" i="10"/>
  <c r="B6" i="9"/>
  <c r="B8" i="8"/>
  <c r="B8" i="7"/>
  <c r="B5" i="6"/>
  <c r="B5" i="5"/>
  <c r="B8" i="4"/>
  <c r="B5" i="3"/>
  <c r="CG2" i="12"/>
  <c r="I2" i="12"/>
  <c r="CG10" i="12"/>
  <c r="I10" i="12"/>
  <c r="CG9" i="12"/>
  <c r="I9" i="12"/>
  <c r="CG8" i="12"/>
  <c r="I8" i="12"/>
  <c r="CG7" i="12"/>
  <c r="I7" i="12"/>
  <c r="CG5" i="12"/>
  <c r="I5" i="12"/>
  <c r="CG4" i="12"/>
  <c r="I4" i="12"/>
  <c r="CG3" i="12"/>
  <c r="I3" i="12"/>
  <c r="CG2" i="11"/>
  <c r="I2" i="11"/>
  <c r="CG10" i="11"/>
  <c r="I10" i="11"/>
  <c r="CG9" i="11"/>
  <c r="I9" i="11"/>
  <c r="CG8" i="11"/>
  <c r="I8" i="11"/>
  <c r="CG7" i="11"/>
  <c r="I7" i="11"/>
  <c r="CG5" i="11"/>
  <c r="I5" i="11"/>
  <c r="CG4" i="11"/>
  <c r="I4" i="11"/>
  <c r="CG3" i="11"/>
  <c r="I3" i="11"/>
  <c r="CG2" i="10"/>
  <c r="I2" i="10"/>
  <c r="CG10" i="10"/>
  <c r="I10" i="10"/>
  <c r="CG9" i="10"/>
  <c r="I9" i="10"/>
  <c r="CG8" i="10"/>
  <c r="I8" i="10"/>
  <c r="CG7" i="10"/>
  <c r="I7" i="10"/>
  <c r="CG5" i="10"/>
  <c r="I5" i="10"/>
  <c r="CG4" i="10"/>
  <c r="I4" i="10"/>
  <c r="CG3" i="10"/>
  <c r="I3" i="10"/>
  <c r="CG2" i="9"/>
  <c r="I2" i="9"/>
  <c r="CG10" i="9"/>
  <c r="I10" i="9"/>
  <c r="CG9" i="9"/>
  <c r="I9" i="9"/>
  <c r="CG8" i="9"/>
  <c r="I8" i="9"/>
  <c r="CG7" i="9"/>
  <c r="I7" i="9"/>
  <c r="CG5" i="9"/>
  <c r="I5" i="9"/>
  <c r="CG4" i="9"/>
  <c r="I4" i="9"/>
  <c r="CG3" i="9"/>
  <c r="I3" i="9"/>
  <c r="CG2" i="8"/>
  <c r="I2" i="8"/>
  <c r="CG11" i="8"/>
  <c r="I11" i="8"/>
  <c r="CG10" i="8"/>
  <c r="I10" i="8"/>
  <c r="CG9" i="8"/>
  <c r="I9" i="8"/>
  <c r="CG7" i="8"/>
  <c r="I7" i="8"/>
  <c r="CG6" i="8"/>
  <c r="I6" i="8"/>
  <c r="CG5" i="8"/>
  <c r="I5" i="8"/>
  <c r="CG4" i="8"/>
  <c r="I4" i="8"/>
  <c r="CG3" i="8"/>
  <c r="I3" i="8"/>
  <c r="CG2" i="7"/>
  <c r="I2" i="7"/>
  <c r="CG11" i="7"/>
  <c r="I11" i="7"/>
  <c r="CG10" i="7"/>
  <c r="I10" i="7"/>
  <c r="CG9" i="7"/>
  <c r="I9" i="7"/>
  <c r="CG7" i="7"/>
  <c r="I7" i="7"/>
  <c r="CG6" i="7"/>
  <c r="I6" i="7"/>
  <c r="CG5" i="7"/>
  <c r="I5" i="7"/>
  <c r="CG4" i="7"/>
  <c r="I4" i="7"/>
  <c r="CG3" i="7"/>
  <c r="I3" i="7"/>
  <c r="CG2" i="6"/>
  <c r="I2" i="6"/>
  <c r="CG11" i="6"/>
  <c r="I11" i="6"/>
  <c r="CG10" i="6"/>
  <c r="I10" i="6"/>
  <c r="CG9" i="6"/>
  <c r="I9" i="6"/>
  <c r="CG8" i="6"/>
  <c r="I8" i="6"/>
  <c r="CG7" i="6"/>
  <c r="I7" i="6"/>
  <c r="CG6" i="6"/>
  <c r="I6" i="6"/>
  <c r="CG4" i="6"/>
  <c r="I4" i="6"/>
  <c r="CG3" i="6"/>
  <c r="I3" i="6"/>
  <c r="CG2" i="5"/>
  <c r="I2" i="5"/>
  <c r="CG11" i="5"/>
  <c r="I11" i="5"/>
  <c r="CG10" i="5"/>
  <c r="I10" i="5"/>
  <c r="CG9" i="5"/>
  <c r="I9" i="5"/>
  <c r="CG8" i="5"/>
  <c r="I8" i="5"/>
  <c r="CG7" i="5"/>
  <c r="I7" i="5"/>
  <c r="CG6" i="5"/>
  <c r="I6" i="5"/>
  <c r="CG4" i="5"/>
  <c r="I4" i="5"/>
  <c r="CG3" i="5"/>
  <c r="I3" i="5"/>
  <c r="CG2" i="4"/>
  <c r="I2" i="4"/>
  <c r="CG11" i="4"/>
  <c r="I11" i="4"/>
  <c r="CG10" i="4"/>
  <c r="I10" i="4"/>
  <c r="CG9" i="4"/>
  <c r="I9" i="4"/>
  <c r="CG7" i="4"/>
  <c r="I7" i="4"/>
  <c r="CG6" i="4"/>
  <c r="I6" i="4"/>
  <c r="CG5" i="4"/>
  <c r="I5" i="4"/>
  <c r="CG4" i="4"/>
  <c r="I4" i="4"/>
  <c r="CG3" i="4"/>
  <c r="I3" i="4"/>
  <c r="CG2" i="3"/>
  <c r="I2" i="3"/>
  <c r="CG11" i="3"/>
  <c r="I11" i="3"/>
  <c r="CG10" i="3"/>
  <c r="I10" i="3"/>
  <c r="CG9" i="3"/>
  <c r="I9" i="3"/>
  <c r="CG8" i="3"/>
  <c r="I8" i="3"/>
  <c r="CG7" i="3"/>
  <c r="I7" i="3"/>
  <c r="CG6" i="3"/>
  <c r="I6" i="3"/>
  <c r="CG4" i="3"/>
  <c r="I4" i="3"/>
  <c r="CG3" i="3"/>
  <c r="I3" i="3"/>
  <c r="CG87" i="2"/>
  <c r="I87" i="2"/>
  <c r="CG86" i="2"/>
  <c r="I86" i="2"/>
  <c r="CG85" i="2"/>
  <c r="I85" i="2"/>
  <c r="CG84" i="2"/>
  <c r="I84" i="2"/>
  <c r="CG83" i="2"/>
  <c r="I83" i="2"/>
  <c r="CG82" i="2"/>
  <c r="I82" i="2"/>
  <c r="CG81" i="2"/>
  <c r="I81" i="2"/>
  <c r="CG80" i="2"/>
  <c r="I80" i="2"/>
  <c r="CG79" i="2"/>
  <c r="I79" i="2"/>
  <c r="CG78" i="2"/>
  <c r="I78" i="2"/>
  <c r="CG77" i="2"/>
  <c r="I77" i="2"/>
  <c r="CG76" i="2"/>
  <c r="I76" i="2"/>
  <c r="CG75" i="2"/>
  <c r="I75" i="2"/>
  <c r="CG74" i="2"/>
  <c r="I74" i="2"/>
  <c r="CG73" i="2"/>
  <c r="I73" i="2"/>
  <c r="CG72" i="2"/>
  <c r="I72" i="2"/>
  <c r="CG71" i="2"/>
  <c r="I71" i="2"/>
  <c r="CG70" i="2"/>
  <c r="I70" i="2"/>
  <c r="CG69" i="2"/>
  <c r="I69" i="2"/>
  <c r="CG68" i="2"/>
  <c r="I68" i="2"/>
  <c r="CG67" i="2"/>
  <c r="I67" i="2"/>
  <c r="CG66" i="2"/>
  <c r="I66" i="2"/>
  <c r="CG65" i="2"/>
  <c r="I65" i="2"/>
  <c r="CG64" i="2"/>
  <c r="I64" i="2"/>
  <c r="CG63" i="2"/>
  <c r="I63" i="2"/>
  <c r="CG62" i="2"/>
  <c r="I62" i="2"/>
  <c r="CG61" i="2"/>
  <c r="I61" i="2"/>
  <c r="CG60" i="2"/>
  <c r="I60" i="2"/>
  <c r="CG59" i="2"/>
  <c r="I59" i="2"/>
  <c r="CG58" i="2"/>
  <c r="I58" i="2"/>
  <c r="CG57" i="2"/>
  <c r="I57" i="2"/>
  <c r="CG56" i="2"/>
  <c r="I56" i="2"/>
  <c r="CG55" i="2"/>
  <c r="I55" i="2"/>
  <c r="CG54" i="2"/>
  <c r="I54" i="2"/>
  <c r="CG53" i="2"/>
  <c r="I53" i="2"/>
  <c r="CG52" i="2"/>
  <c r="I52" i="2"/>
  <c r="CG51" i="2"/>
  <c r="I51" i="2"/>
  <c r="CG50" i="2"/>
  <c r="I50" i="2"/>
  <c r="CG49" i="2"/>
  <c r="I49" i="2"/>
  <c r="CG48" i="2"/>
  <c r="I48" i="2"/>
  <c r="CG47" i="2"/>
  <c r="I47" i="2"/>
  <c r="CG46" i="2"/>
  <c r="I46" i="2"/>
  <c r="CG45" i="2"/>
  <c r="I45" i="2"/>
  <c r="CG44" i="2"/>
  <c r="I44" i="2"/>
  <c r="CG43" i="2"/>
  <c r="I43" i="2"/>
  <c r="CG42" i="2"/>
  <c r="I42" i="2"/>
  <c r="CG41" i="2"/>
  <c r="I41" i="2"/>
  <c r="CG40" i="2"/>
  <c r="I40" i="2"/>
  <c r="CG39" i="2"/>
  <c r="I39" i="2"/>
  <c r="CG38" i="2"/>
  <c r="I38" i="2"/>
  <c r="CG37" i="2"/>
  <c r="I37" i="2"/>
  <c r="CG36" i="2"/>
  <c r="I36" i="2"/>
  <c r="CG35" i="2"/>
  <c r="I35" i="2"/>
  <c r="CG34" i="2"/>
  <c r="I34" i="2"/>
  <c r="CG33" i="2"/>
  <c r="I33" i="2"/>
  <c r="CG32" i="2"/>
  <c r="I32" i="2"/>
  <c r="CG31" i="2"/>
  <c r="I31" i="2"/>
  <c r="CG30" i="2"/>
  <c r="I30" i="2"/>
  <c r="CG29" i="2"/>
  <c r="I29" i="2"/>
  <c r="CG28" i="2"/>
  <c r="I28" i="2"/>
  <c r="CG27" i="2"/>
  <c r="I27" i="2"/>
  <c r="CG26" i="2"/>
  <c r="I26" i="2"/>
  <c r="CG25" i="2"/>
  <c r="I25" i="2"/>
  <c r="CG24" i="2"/>
  <c r="I24" i="2"/>
  <c r="CG23" i="2"/>
  <c r="I23" i="2"/>
  <c r="CG22" i="2"/>
  <c r="I22" i="2"/>
  <c r="CG21" i="2"/>
  <c r="I21" i="2"/>
  <c r="CG20" i="2"/>
  <c r="I20" i="2"/>
  <c r="CG19" i="2"/>
  <c r="I19" i="2"/>
  <c r="CG18" i="2"/>
  <c r="I18" i="2"/>
  <c r="CG17" i="2"/>
  <c r="I17" i="2"/>
  <c r="CG16" i="2"/>
  <c r="I16" i="2"/>
  <c r="CG15" i="2"/>
  <c r="I15" i="2"/>
  <c r="CG14" i="2"/>
  <c r="I14" i="2"/>
  <c r="CG13" i="2"/>
  <c r="I13" i="2"/>
  <c r="CG12" i="2"/>
  <c r="I12" i="2"/>
  <c r="CG11" i="2"/>
  <c r="I11" i="2"/>
  <c r="CG10" i="2"/>
  <c r="I10" i="2"/>
  <c r="CG9" i="2"/>
  <c r="I9" i="2"/>
  <c r="CG8" i="2"/>
  <c r="I8" i="2"/>
  <c r="CG7" i="2"/>
  <c r="I7" i="2"/>
  <c r="CG6" i="2"/>
  <c r="I6" i="2"/>
  <c r="CG5" i="2"/>
  <c r="I5" i="2"/>
  <c r="CG4" i="2"/>
  <c r="I4" i="2"/>
  <c r="CG3" i="2"/>
  <c r="I3" i="2"/>
  <c r="CG2" i="2"/>
  <c r="I2" i="2"/>
</calcChain>
</file>

<file path=xl/sharedStrings.xml><?xml version="1.0" encoding="utf-8"?>
<sst xmlns="http://schemas.openxmlformats.org/spreadsheetml/2006/main" count="5307" uniqueCount="307">
  <si>
    <t>Campo</t>
  </si>
  <si>
    <t>Valor</t>
  </si>
  <si>
    <t>Archivo generado</t>
  </si>
  <si>
    <t>Datos_CCD_2factores_homologados.xlsx</t>
  </si>
  <si>
    <t>Archivo origen</t>
  </si>
  <si>
    <t>data_CCD_2factores.xlsx</t>
  </si>
  <si>
    <t>Referencia estructural</t>
  </si>
  <si>
    <t>Calibration_data_vl3(4).xlsx / estructura homologada previa</t>
  </si>
  <si>
    <t>Número de filas homologadas</t>
  </si>
  <si>
    <t>Cubadas procesadas</t>
  </si>
  <si>
    <t>MS007, MS008, MS009, MS010, MS011, MS012, MS013, MS014, MS015, MS016</t>
  </si>
  <si>
    <t>Criterio de temperatura</t>
  </si>
  <si>
    <t>Columna homologada temperatura = columna fuente Temperatura; Temperatura Medida se conserva solo como variable adicional.</t>
  </si>
  <si>
    <t>Criterio de fructosa</t>
  </si>
  <si>
    <t>FRUCTOSE = GLU-FRU-320 - GLUCOSE-320 mediante fórmula.</t>
  </si>
  <si>
    <t>Criterio de adición</t>
  </si>
  <si>
    <t>Adicion se conserva como factor CCD y se mapea además a pulso_nut para compatibilidad.</t>
  </si>
  <si>
    <t>Flags de calidad</t>
  </si>
  <si>
    <t>Nota</t>
  </si>
  <si>
    <t>No se modificaron valores crudos; flags solo indican revisión recomendada.</t>
  </si>
  <si>
    <t>ID</t>
  </si>
  <si>
    <t>fecha_hora</t>
  </si>
  <si>
    <t>t</t>
  </si>
  <si>
    <t>temperatura</t>
  </si>
  <si>
    <t>densidad</t>
  </si>
  <si>
    <t>Viability</t>
  </si>
  <si>
    <t>Peso Seco</t>
  </si>
  <si>
    <t>GLUCOSE</t>
  </si>
  <si>
    <t>FRUCTOSE</t>
  </si>
  <si>
    <t>PAN</t>
  </si>
  <si>
    <t>AMMONIA</t>
  </si>
  <si>
    <t>YAN</t>
  </si>
  <si>
    <t>GLYCEROL</t>
  </si>
  <si>
    <t>PYRUVIC ACID</t>
  </si>
  <si>
    <t>PYRUVIC ACID2</t>
  </si>
  <si>
    <t>ACETALDEHIDO</t>
  </si>
  <si>
    <t>ETANOL</t>
  </si>
  <si>
    <t>pulso_nut</t>
  </si>
  <si>
    <t>bencil_alcohol_total</t>
  </si>
  <si>
    <t>benzaldehido_total</t>
  </si>
  <si>
    <t>decanoato_de_etilo_total</t>
  </si>
  <si>
    <t>hexil_acetate_total</t>
  </si>
  <si>
    <t>isoamil_acetate_total</t>
  </si>
  <si>
    <t>octanoate_de_etilo_total</t>
  </si>
  <si>
    <t>phenylethylacetate_total</t>
  </si>
  <si>
    <t>Ethyl_Acetate_total</t>
  </si>
  <si>
    <t>Código ensayo</t>
  </si>
  <si>
    <t>fecha_hora_original</t>
  </si>
  <si>
    <t>fecha_hora_nota</t>
  </si>
  <si>
    <t>base_t_origen</t>
  </si>
  <si>
    <t>temperatura_fuente</t>
  </si>
  <si>
    <t>temperatura_evento_activo</t>
  </si>
  <si>
    <t>protocolo_inferido</t>
  </si>
  <si>
    <t>pulso_nut_evento</t>
  </si>
  <si>
    <t>pulso_nut_t_h</t>
  </si>
  <si>
    <t>pulso_nut_tipo</t>
  </si>
  <si>
    <t>Brix</t>
  </si>
  <si>
    <t>pH</t>
  </si>
  <si>
    <t>DO</t>
  </si>
  <si>
    <t>Oculyze Concentration</t>
  </si>
  <si>
    <t>Oculyze Budding</t>
  </si>
  <si>
    <t>Y15 Glucosa-Fructosa</t>
  </si>
  <si>
    <t>Y15 Acetico</t>
  </si>
  <si>
    <t>Cf Alcolyzer (% v/v)</t>
  </si>
  <si>
    <t>Cf Alcolyzer Real (% v/v)</t>
  </si>
  <si>
    <t>Tipo muestra</t>
  </si>
  <si>
    <t>Hito</t>
  </si>
  <si>
    <t>Matriz</t>
  </si>
  <si>
    <t>Volumen total (mL)</t>
  </si>
  <si>
    <t>Contenedores</t>
  </si>
  <si>
    <t>Análisis planificados</t>
  </si>
  <si>
    <t>Estado muestreo</t>
  </si>
  <si>
    <t>Peso recipiente (g)</t>
  </si>
  <si>
    <t>Extracto seco (g)</t>
  </si>
  <si>
    <t>GC-MS/MS MEF</t>
  </si>
  <si>
    <t>GC-MS/MS Cond</t>
  </si>
  <si>
    <t>Freezer</t>
  </si>
  <si>
    <t>Caja</t>
  </si>
  <si>
    <t>Posición</t>
  </si>
  <si>
    <t>Aroma Vol GC (mL)</t>
  </si>
  <si>
    <t>Aroma Dilución 1:X</t>
  </si>
  <si>
    <t>Aroma GA muestra (% v/v)</t>
  </si>
  <si>
    <t>Aroma EtOH objetivo (%)</t>
  </si>
  <si>
    <t>Aroma Alcohol HPLC 100% (uL)</t>
  </si>
  <si>
    <t>Aroma Vol muestra (µL)</t>
  </si>
  <si>
    <t>Temporada</t>
  </si>
  <si>
    <t>Proyecto</t>
  </si>
  <si>
    <t>Escala</t>
  </si>
  <si>
    <t>Lote</t>
  </si>
  <si>
    <t>Reactor/Estanque</t>
  </si>
  <si>
    <t>Condición</t>
  </si>
  <si>
    <t>Réplica</t>
  </si>
  <si>
    <t>Variedad</t>
  </si>
  <si>
    <t>Levadura</t>
  </si>
  <si>
    <t>Volumen inicial (L)</t>
  </si>
  <si>
    <t>Objetivo específico</t>
  </si>
  <si>
    <t>Observaciones ensayo</t>
  </si>
  <si>
    <t>Codigo_fuente</t>
  </si>
  <si>
    <t>Cubada</t>
  </si>
  <si>
    <t>Temperatura Medida</t>
  </si>
  <si>
    <t>Temperatura_operacional_columna_Temperatura</t>
  </si>
  <si>
    <t>Adicion</t>
  </si>
  <si>
    <t>GLU-FRU-320</t>
  </si>
  <si>
    <t>GLUCOSE-320</t>
  </si>
  <si>
    <t>FRUCTOSE_inferida</t>
  </si>
  <si>
    <t>C_total</t>
  </si>
  <si>
    <t>C_viable</t>
  </si>
  <si>
    <t>Budding_Index</t>
  </si>
  <si>
    <t>DateTime_serial</t>
  </si>
  <si>
    <t>Archivo_origen</t>
  </si>
  <si>
    <t>flag_calidad</t>
  </si>
  <si>
    <t>observaciones_CCD</t>
  </si>
  <si>
    <t>MS007-0</t>
  </si>
  <si>
    <t>MS007</t>
  </si>
  <si>
    <t>Serial Excel desde columna DateTime del archivo CCD</t>
  </si>
  <si>
    <t>Horas</t>
  </si>
  <si>
    <t>Temperatura</t>
  </si>
  <si>
    <t>CCD_2factores_T15_Adicion1</t>
  </si>
  <si>
    <t>Factor CCD Adicion</t>
  </si>
  <si>
    <t>Muestreo cinético</t>
  </si>
  <si>
    <t>0</t>
  </si>
  <si>
    <t>Fermentación</t>
  </si>
  <si>
    <t>Fisicoquímico; HPLC/analitos; biomasa/viabilidad</t>
  </si>
  <si>
    <t>Dato importado desde archivo CCD</t>
  </si>
  <si>
    <t>CCD 2 factores</t>
  </si>
  <si>
    <t>Laboratorio</t>
  </si>
  <si>
    <t>T=15; Adición=1</t>
  </si>
  <si>
    <t>Homologación de datos CCD 2 factores para calibración/modelación</t>
  </si>
  <si>
    <t>temperatura homologada desde columna Temperatura; Temperatura Medida conservada como variable adicional.</t>
  </si>
  <si>
    <t>Dato CCD homologado; Temperatura Medida no se usa como temperatura operacional.</t>
  </si>
  <si>
    <t>MS007-1</t>
  </si>
  <si>
    <t>1</t>
  </si>
  <si>
    <t>MS007-2</t>
  </si>
  <si>
    <t>2</t>
  </si>
  <si>
    <t>MS007-3</t>
  </si>
  <si>
    <t>3</t>
  </si>
  <si>
    <t>MS007-4</t>
  </si>
  <si>
    <t>4</t>
  </si>
  <si>
    <t>MS007-5</t>
  </si>
  <si>
    <t>5</t>
  </si>
  <si>
    <t>MS007-6</t>
  </si>
  <si>
    <t>6</t>
  </si>
  <si>
    <t>MS007-7</t>
  </si>
  <si>
    <t>7</t>
  </si>
  <si>
    <t>MS007-8</t>
  </si>
  <si>
    <t>8</t>
  </si>
  <si>
    <t>MS008-0</t>
  </si>
  <si>
    <t>MS008</t>
  </si>
  <si>
    <t>CCD_2factores_T15_Adicion4</t>
  </si>
  <si>
    <t>T=15; Adición=4</t>
  </si>
  <si>
    <t>MS008-1</t>
  </si>
  <si>
    <t>MS008-2</t>
  </si>
  <si>
    <t>MS008-3</t>
  </si>
  <si>
    <t>MS008-4</t>
  </si>
  <si>
    <t>MS008-5</t>
  </si>
  <si>
    <t>MS008-6</t>
  </si>
  <si>
    <t>MS008-7</t>
  </si>
  <si>
    <t>MS008-8</t>
  </si>
  <si>
    <t>MS009-0</t>
  </si>
  <si>
    <t>MS009</t>
  </si>
  <si>
    <t>CCD_2factores_T23_Adicion1</t>
  </si>
  <si>
    <t>T=23; Adición=1</t>
  </si>
  <si>
    <t>MS009-1</t>
  </si>
  <si>
    <t>MS009-2</t>
  </si>
  <si>
    <t>REVISAR: Brix fuera de rango plausible (&gt;40)</t>
  </si>
  <si>
    <t>MS009-3</t>
  </si>
  <si>
    <t>MS009-4</t>
  </si>
  <si>
    <t>MS009-5</t>
  </si>
  <si>
    <t>MS009-6</t>
  </si>
  <si>
    <t>MS009-7</t>
  </si>
  <si>
    <t>MS009-8</t>
  </si>
  <si>
    <t>MS010-0</t>
  </si>
  <si>
    <t>MS010</t>
  </si>
  <si>
    <t>CCD_2factores_T19_Adicion1</t>
  </si>
  <si>
    <t>T=19; Adición=1</t>
  </si>
  <si>
    <t>MS010-1</t>
  </si>
  <si>
    <t>MS010-2</t>
  </si>
  <si>
    <t>MS010-3</t>
  </si>
  <si>
    <t>MS010-4</t>
  </si>
  <si>
    <t>MS010-5</t>
  </si>
  <si>
    <t>MS010-6</t>
  </si>
  <si>
    <t>MS010-7</t>
  </si>
  <si>
    <t>MS010-8</t>
  </si>
  <si>
    <t>MS011-0</t>
  </si>
  <si>
    <t>MS011</t>
  </si>
  <si>
    <t>CCD_2factores_T19_Adicion4</t>
  </si>
  <si>
    <t>T=19; Adición=4</t>
  </si>
  <si>
    <t>MS011-1</t>
  </si>
  <si>
    <t>MS011-2</t>
  </si>
  <si>
    <t>MS011-3</t>
  </si>
  <si>
    <t>MS011-4</t>
  </si>
  <si>
    <t>MS011-5</t>
  </si>
  <si>
    <t>MS011-6</t>
  </si>
  <si>
    <t>MS011-7</t>
  </si>
  <si>
    <t>MS011-8</t>
  </si>
  <si>
    <t>MS012-0</t>
  </si>
  <si>
    <t>MS012</t>
  </si>
  <si>
    <t>CCD_2factores_T23_Adicion4</t>
  </si>
  <si>
    <t>T=23; Adición=4</t>
  </si>
  <si>
    <t>MS012-1</t>
  </si>
  <si>
    <t>MS012-2</t>
  </si>
  <si>
    <t>MS012-3</t>
  </si>
  <si>
    <t>MS012-4</t>
  </si>
  <si>
    <t>MS012-5</t>
  </si>
  <si>
    <t>MS012-6</t>
  </si>
  <si>
    <t>MS012-7</t>
  </si>
  <si>
    <t>MS012-8</t>
  </si>
  <si>
    <t>MS013-0</t>
  </si>
  <si>
    <t>MS013</t>
  </si>
  <si>
    <t>CCD_2factores_T19_Adicion3</t>
  </si>
  <si>
    <t>T=19; Adición=3</t>
  </si>
  <si>
    <t>MS013-1</t>
  </si>
  <si>
    <t>MS013-2</t>
  </si>
  <si>
    <t>MS013-3</t>
  </si>
  <si>
    <t>MS013-4</t>
  </si>
  <si>
    <t>MS013-5</t>
  </si>
  <si>
    <t>MS013-6</t>
  </si>
  <si>
    <t>MS013-7</t>
  </si>
  <si>
    <t>MS014-0</t>
  </si>
  <si>
    <t>MS014</t>
  </si>
  <si>
    <t>MS014-1</t>
  </si>
  <si>
    <t>MS014-2</t>
  </si>
  <si>
    <t>MS014-3</t>
  </si>
  <si>
    <t>MS014-4</t>
  </si>
  <si>
    <t>MS014-5</t>
  </si>
  <si>
    <t>MS014-6</t>
  </si>
  <si>
    <t>MS014-7</t>
  </si>
  <si>
    <t>MS015-0</t>
  </si>
  <si>
    <t>MS015</t>
  </si>
  <si>
    <t>CCD_2factores_T15_Adicion3</t>
  </si>
  <si>
    <t>T=15; Adición=3</t>
  </si>
  <si>
    <t>MS015-1</t>
  </si>
  <si>
    <t>MS015-2</t>
  </si>
  <si>
    <t>MS015-3</t>
  </si>
  <si>
    <t>MS015-4</t>
  </si>
  <si>
    <t>MS015-5</t>
  </si>
  <si>
    <t>MS015-6</t>
  </si>
  <si>
    <t>MS015-7</t>
  </si>
  <si>
    <t>MS016-0</t>
  </si>
  <si>
    <t>MS016</t>
  </si>
  <si>
    <t>CCD_2factores_T23_Adicion3</t>
  </si>
  <si>
    <t>T=23; Adición=3</t>
  </si>
  <si>
    <t>MS016-1</t>
  </si>
  <si>
    <t>MS016-2</t>
  </si>
  <si>
    <t>MS016-3</t>
  </si>
  <si>
    <t>MS016-4</t>
  </si>
  <si>
    <t>MS016-5</t>
  </si>
  <si>
    <t>MS016-6</t>
  </si>
  <si>
    <t>MS016-7</t>
  </si>
  <si>
    <t>n_muestreos</t>
  </si>
  <si>
    <t>t_min_h</t>
  </si>
  <si>
    <t>t_max_h</t>
  </si>
  <si>
    <t>Temperatura_Medida_promedio</t>
  </si>
  <si>
    <t>Brix_inicial</t>
  </si>
  <si>
    <t>Brix_final</t>
  </si>
  <si>
    <t>Densidad_inicial</t>
  </si>
  <si>
    <t>Densidad_final</t>
  </si>
  <si>
    <t>GLU-FRU_inicial</t>
  </si>
  <si>
    <t>GLU-FRU_final</t>
  </si>
  <si>
    <t>GLUCOSE_inicial</t>
  </si>
  <si>
    <t>GLUCOSE_final</t>
  </si>
  <si>
    <t>FRUCTOSE_inferida_inicial</t>
  </si>
  <si>
    <t>FRUCTOSE_inferida_final</t>
  </si>
  <si>
    <t>YAN_inicial</t>
  </si>
  <si>
    <t>YAN_final</t>
  </si>
  <si>
    <t>ETANOL_final</t>
  </si>
  <si>
    <t>GLYCEROL_final</t>
  </si>
  <si>
    <t>C_total_final</t>
  </si>
  <si>
    <t>C_viable_final</t>
  </si>
  <si>
    <t>Viability_final</t>
  </si>
  <si>
    <t>Codigo</t>
  </si>
  <si>
    <t>DateTime</t>
  </si>
  <si>
    <t>Densidad</t>
  </si>
  <si>
    <t>PYRUVIC_ACID</t>
  </si>
  <si>
    <t>Columna</t>
  </si>
  <si>
    <t>Criterio</t>
  </si>
  <si>
    <t>Accion</t>
  </si>
  <si>
    <t>Brix &gt; 40</t>
  </si>
  <si>
    <t>Valor crudo preservado; revisar si corresponde a error de carga/fecha serial.</t>
  </si>
  <si>
    <t>Campo homologado</t>
  </si>
  <si>
    <t>Campo fuente / regla</t>
  </si>
  <si>
    <t>Comentario</t>
  </si>
  <si>
    <t>Identificador de muestra original.</t>
  </si>
  <si>
    <t>Serial Excel del archivo de origen.</t>
  </si>
  <si>
    <t>Tiempo de fermentación en horas.</t>
  </si>
  <si>
    <t>Temperatura operacional/de diseño. No corresponde a Temperatura Medida.</t>
  </si>
  <si>
    <t>Variable conservada como control/contraste térmico.</t>
  </si>
  <si>
    <t>Directo.</t>
  </si>
  <si>
    <t>Directo; se detectó un valor anómalo en MS009-2.</t>
  </si>
  <si>
    <t>GLU-FRU-320 - GLUCOSE-320</t>
  </si>
  <si>
    <t>Calculado por fórmula en la planilla.</t>
  </si>
  <si>
    <t>Mapeado para compatibilidad con estructura piloto; Adicion también se conserva como factor CCD.</t>
  </si>
  <si>
    <t>Conservado en campo compatible y también como C_total.</t>
  </si>
  <si>
    <t>Conservado en campo compatible y también como Budding_Index.</t>
  </si>
  <si>
    <t>Azúcar total medido como GLU-FRU-320 en origen.</t>
  </si>
  <si>
    <t>Temperatura + Adicion</t>
  </si>
  <si>
    <t>Texto compuesto para trazabilidad del diseño experimental.</t>
  </si>
  <si>
    <t>Identificador de proceso/cubada.</t>
  </si>
  <si>
    <t>MS007-N</t>
  </si>
  <si>
    <t>MS008-N</t>
  </si>
  <si>
    <t>MS010-N</t>
  </si>
  <si>
    <t>MS009-N</t>
  </si>
  <si>
    <t>MS011-N</t>
  </si>
  <si>
    <t>MS012-N</t>
  </si>
  <si>
    <t>MS013-N</t>
  </si>
  <si>
    <t>MS014-N</t>
  </si>
  <si>
    <t>MS015-N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</si>
</sst>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000000"/>
      <name val="Carlito"/>
    </font>
    <font>
      <b/>
      <sz val="11"/>
      <color rgb="FF7F6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3"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9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Datos_Homologados" displayName="T_Datos_Homologados" ref="A1:CN87">
  <tableColumns count="92">
    <tableColumn id="1" xr3:uid="{00000000-0010-0000-0000-000001000000}" name="ID"/>
    <tableColumn id="2" xr3:uid="{00000000-0010-0000-0000-000002000000}" name="fecha_hora"/>
    <tableColumn id="3" xr3:uid="{00000000-0010-0000-0000-000003000000}" name="t"/>
    <tableColumn id="4" xr3:uid="{00000000-0010-0000-0000-000004000000}" name="temperatura"/>
    <tableColumn id="5" xr3:uid="{00000000-0010-0000-0000-000005000000}" name="densidad"/>
    <tableColumn id="6" xr3:uid="{00000000-0010-0000-0000-000006000000}" name="Viability"/>
    <tableColumn id="7" xr3:uid="{00000000-0010-0000-0000-000007000000}" name="Peso Seco"/>
    <tableColumn id="8" xr3:uid="{00000000-0010-0000-0000-000008000000}" name="GLUCOSE"/>
    <tableColumn id="9" xr3:uid="{00000000-0010-0000-0000-000009000000}" name="FRUCTOSE"/>
    <tableColumn id="10" xr3:uid="{00000000-0010-0000-0000-00000A000000}" name="PAN"/>
    <tableColumn id="11" xr3:uid="{00000000-0010-0000-0000-00000B000000}" name="AMMONIA"/>
    <tableColumn id="12" xr3:uid="{00000000-0010-0000-0000-00000C000000}" name="YAN"/>
    <tableColumn id="13" xr3:uid="{00000000-0010-0000-0000-00000D000000}" name="GLYCEROL"/>
    <tableColumn id="14" xr3:uid="{00000000-0010-0000-0000-00000E000000}" name="PYRUVIC ACID"/>
    <tableColumn id="15" xr3:uid="{00000000-0010-0000-0000-00000F000000}" name="PYRUVIC ACID2"/>
    <tableColumn id="16" xr3:uid="{00000000-0010-0000-0000-000010000000}" name="ACETALDEHIDO"/>
    <tableColumn id="17" xr3:uid="{00000000-0010-0000-0000-000011000000}" name="ETANOL"/>
    <tableColumn id="18" xr3:uid="{00000000-0010-0000-0000-000012000000}" name="pulso_nut"/>
    <tableColumn id="19" xr3:uid="{00000000-0010-0000-0000-000013000000}" name="bencil_alcohol_total"/>
    <tableColumn id="20" xr3:uid="{00000000-0010-0000-0000-000014000000}" name="benzaldehido_total"/>
    <tableColumn id="21" xr3:uid="{00000000-0010-0000-0000-000015000000}" name="decanoato_de_etilo_total"/>
    <tableColumn id="22" xr3:uid="{00000000-0010-0000-0000-000016000000}" name="hexil_acetate_total"/>
    <tableColumn id="23" xr3:uid="{00000000-0010-0000-0000-000017000000}" name="isoamil_acetate_total"/>
    <tableColumn id="24" xr3:uid="{00000000-0010-0000-0000-000018000000}" name="octanoate_de_etilo_total"/>
    <tableColumn id="25" xr3:uid="{00000000-0010-0000-0000-000019000000}" name="phenylethylacetate_total"/>
    <tableColumn id="26" xr3:uid="{00000000-0010-0000-0000-00001A000000}" name="Ethyl_Acetate_total"/>
    <tableColumn id="27" xr3:uid="{00000000-0010-0000-0000-00001B000000}" name="Código ensayo"/>
    <tableColumn id="28" xr3:uid="{00000000-0010-0000-0000-00001C000000}" name="fecha_hora_original"/>
    <tableColumn id="29" xr3:uid="{00000000-0010-0000-0000-00001D000000}" name="fecha_hora_nota"/>
    <tableColumn id="30" xr3:uid="{00000000-0010-0000-0000-00001E000000}" name="base_t_origen"/>
    <tableColumn id="31" xr3:uid="{00000000-0010-0000-0000-00001F000000}" name="temperatura_fuente"/>
    <tableColumn id="32" xr3:uid="{00000000-0010-0000-0000-000020000000}" name="temperatura_evento_activo"/>
    <tableColumn id="33" xr3:uid="{00000000-0010-0000-0000-000021000000}" name="protocolo_inferido"/>
    <tableColumn id="34" xr3:uid="{00000000-0010-0000-0000-000022000000}" name="pulso_nut_evento"/>
    <tableColumn id="35" xr3:uid="{00000000-0010-0000-0000-000023000000}" name="pulso_nut_t_h"/>
    <tableColumn id="36" xr3:uid="{00000000-0010-0000-0000-000024000000}" name="pulso_nut_tipo"/>
    <tableColumn id="37" xr3:uid="{00000000-0010-0000-0000-000025000000}" name="Brix"/>
    <tableColumn id="38" xr3:uid="{00000000-0010-0000-0000-000026000000}" name="pH"/>
    <tableColumn id="39" xr3:uid="{00000000-0010-0000-0000-000027000000}" name="DO"/>
    <tableColumn id="40" xr3:uid="{00000000-0010-0000-0000-000028000000}" name="Oculyze Concentration"/>
    <tableColumn id="41" xr3:uid="{00000000-0010-0000-0000-000029000000}" name="Oculyze Budding"/>
    <tableColumn id="42" xr3:uid="{00000000-0010-0000-0000-00002A000000}" name="Y15 Glucosa-Fructosa"/>
    <tableColumn id="43" xr3:uid="{00000000-0010-0000-0000-00002B000000}" name="Y15 Acetico"/>
    <tableColumn id="44" xr3:uid="{00000000-0010-0000-0000-00002C000000}" name="Cf Alcolyzer (% v/v)"/>
    <tableColumn id="45" xr3:uid="{00000000-0010-0000-0000-00002D000000}" name="Cf Alcolyzer Real (% v/v)"/>
    <tableColumn id="46" xr3:uid="{00000000-0010-0000-0000-00002E000000}" name="Tipo muestra"/>
    <tableColumn id="47" xr3:uid="{00000000-0010-0000-0000-00002F000000}" name="Hito"/>
    <tableColumn id="48" xr3:uid="{00000000-0010-0000-0000-000030000000}" name="Matriz"/>
    <tableColumn id="49" xr3:uid="{00000000-0010-0000-0000-000031000000}" name="Volumen total (mL)"/>
    <tableColumn id="50" xr3:uid="{00000000-0010-0000-0000-000032000000}" name="Contenedores"/>
    <tableColumn id="51" xr3:uid="{00000000-0010-0000-0000-000033000000}" name="Análisis planificados"/>
    <tableColumn id="52" xr3:uid="{00000000-0010-0000-0000-000034000000}" name="Estado muestreo"/>
    <tableColumn id="53" xr3:uid="{00000000-0010-0000-0000-000035000000}" name="Peso recipiente (g)"/>
    <tableColumn id="54" xr3:uid="{00000000-0010-0000-0000-000036000000}" name="Extracto seco (g)"/>
    <tableColumn id="55" xr3:uid="{00000000-0010-0000-0000-000037000000}" name="GC-MS/MS MEF"/>
    <tableColumn id="56" xr3:uid="{00000000-0010-0000-0000-000038000000}" name="GC-MS/MS Cond"/>
    <tableColumn id="57" xr3:uid="{00000000-0010-0000-0000-000039000000}" name="Freezer"/>
    <tableColumn id="58" xr3:uid="{00000000-0010-0000-0000-00003A000000}" name="Caja"/>
    <tableColumn id="59" xr3:uid="{00000000-0010-0000-0000-00003B000000}" name="Posición"/>
    <tableColumn id="60" xr3:uid="{00000000-0010-0000-0000-00003C000000}" name="Aroma Vol GC (mL)"/>
    <tableColumn id="61" xr3:uid="{00000000-0010-0000-0000-00003D000000}" name="Aroma Dilución 1:X"/>
    <tableColumn id="62" xr3:uid="{00000000-0010-0000-0000-00003E000000}" name="Aroma GA muestra (% v/v)"/>
    <tableColumn id="63" xr3:uid="{00000000-0010-0000-0000-00003F000000}" name="Aroma EtOH objetivo (%)"/>
    <tableColumn id="64" xr3:uid="{00000000-0010-0000-0000-000040000000}" name="Aroma Alcohol HPLC 100% (uL)"/>
    <tableColumn id="65" xr3:uid="{00000000-0010-0000-0000-000041000000}" name="Aroma Vol muestra (µL)"/>
    <tableColumn id="66" xr3:uid="{00000000-0010-0000-0000-000042000000}" name="Temporada"/>
    <tableColumn id="67" xr3:uid="{00000000-0010-0000-0000-000043000000}" name="Proyecto"/>
    <tableColumn id="68" xr3:uid="{00000000-0010-0000-0000-000044000000}" name="Escala"/>
    <tableColumn id="69" xr3:uid="{00000000-0010-0000-0000-000045000000}" name="Lote"/>
    <tableColumn id="70" xr3:uid="{00000000-0010-0000-0000-000046000000}" name="Reactor/Estanque"/>
    <tableColumn id="71" xr3:uid="{00000000-0010-0000-0000-000047000000}" name="Condición"/>
    <tableColumn id="72" xr3:uid="{00000000-0010-0000-0000-000048000000}" name="Réplica"/>
    <tableColumn id="73" xr3:uid="{00000000-0010-0000-0000-000049000000}" name="Variedad"/>
    <tableColumn id="74" xr3:uid="{00000000-0010-0000-0000-00004A000000}" name="Levadura"/>
    <tableColumn id="75" xr3:uid="{00000000-0010-0000-0000-00004B000000}" name="Volumen inicial (L)"/>
    <tableColumn id="76" xr3:uid="{00000000-0010-0000-0000-00004C000000}" name="Objetivo específico"/>
    <tableColumn id="77" xr3:uid="{00000000-0010-0000-0000-00004D000000}" name="Observaciones ensayo"/>
    <tableColumn id="78" xr3:uid="{00000000-0010-0000-0000-00004E000000}" name="Codigo_fuente"/>
    <tableColumn id="79" xr3:uid="{00000000-0010-0000-0000-00004F000000}" name="Cubada"/>
    <tableColumn id="80" xr3:uid="{00000000-0010-0000-0000-000050000000}" name="Temperatura Medida"/>
    <tableColumn id="81" xr3:uid="{00000000-0010-0000-0000-000051000000}" name="Temperatura_operacional_columna_Temperatura"/>
    <tableColumn id="82" xr3:uid="{00000000-0010-0000-0000-000052000000}" name="Adicion"/>
    <tableColumn id="83" xr3:uid="{00000000-0010-0000-0000-000053000000}" name="GLU-FRU-320"/>
    <tableColumn id="84" xr3:uid="{00000000-0010-0000-0000-000054000000}" name="GLUCOSE-320"/>
    <tableColumn id="85" xr3:uid="{00000000-0010-0000-0000-000055000000}" name="FRUCTOSE_inferida"/>
    <tableColumn id="86" xr3:uid="{00000000-0010-0000-0000-000056000000}" name="C_total"/>
    <tableColumn id="87" xr3:uid="{00000000-0010-0000-0000-000057000000}" name="C_viable"/>
    <tableColumn id="88" xr3:uid="{00000000-0010-0000-0000-000058000000}" name="Budding_Index"/>
    <tableColumn id="89" xr3:uid="{00000000-0010-0000-0000-000059000000}" name="DateTime_serial"/>
    <tableColumn id="90" xr3:uid="{00000000-0010-0000-0000-00005A000000}" name="Archivo_origen"/>
    <tableColumn id="91" xr3:uid="{00000000-0010-0000-0000-00005B000000}" name="flag_calidad"/>
    <tableColumn id="92" xr3:uid="{00000000-0010-0000-0000-00005C000000}" name="observaciones_CC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MS007" displayName="T_MS007" ref="A1:CN11">
  <tableColumns count="92">
    <tableColumn id="1" xr3:uid="{00000000-0010-0000-0100-000001000000}" name="ID"/>
    <tableColumn id="2" xr3:uid="{00000000-0010-0000-0100-000002000000}" name="fecha_hora"/>
    <tableColumn id="3" xr3:uid="{00000000-0010-0000-0100-000003000000}" name="t"/>
    <tableColumn id="4" xr3:uid="{00000000-0010-0000-0100-000004000000}" name="temperatura"/>
    <tableColumn id="5" xr3:uid="{00000000-0010-0000-0100-000005000000}" name="densidad"/>
    <tableColumn id="6" xr3:uid="{00000000-0010-0000-0100-000006000000}" name="Viability"/>
    <tableColumn id="7" xr3:uid="{00000000-0010-0000-0100-000007000000}" name="Peso Seco"/>
    <tableColumn id="8" xr3:uid="{00000000-0010-0000-0100-000008000000}" name="GLUCOSE"/>
    <tableColumn id="9" xr3:uid="{00000000-0010-0000-0100-000009000000}" name="FRUCTOSE"/>
    <tableColumn id="10" xr3:uid="{00000000-0010-0000-0100-00000A000000}" name="PAN"/>
    <tableColumn id="11" xr3:uid="{00000000-0010-0000-0100-00000B000000}" name="AMMONIA"/>
    <tableColumn id="12" xr3:uid="{00000000-0010-0000-0100-00000C000000}" name="YAN"/>
    <tableColumn id="13" xr3:uid="{00000000-0010-0000-0100-00000D000000}" name="GLYCEROL"/>
    <tableColumn id="14" xr3:uid="{00000000-0010-0000-0100-00000E000000}" name="PYRUVIC ACID"/>
    <tableColumn id="15" xr3:uid="{00000000-0010-0000-0100-00000F000000}" name="PYRUVIC ACID2"/>
    <tableColumn id="16" xr3:uid="{00000000-0010-0000-0100-000010000000}" name="ACETALDEHIDO"/>
    <tableColumn id="17" xr3:uid="{00000000-0010-0000-0100-000011000000}" name="ETANOL"/>
    <tableColumn id="18" xr3:uid="{00000000-0010-0000-0100-000012000000}" name="pulso_nut"/>
    <tableColumn id="19" xr3:uid="{00000000-0010-0000-0100-000013000000}" name="bencil_alcohol_total"/>
    <tableColumn id="20" xr3:uid="{00000000-0010-0000-0100-000014000000}" name="benzaldehido_total"/>
    <tableColumn id="21" xr3:uid="{00000000-0010-0000-0100-000015000000}" name="decanoato_de_etilo_total"/>
    <tableColumn id="22" xr3:uid="{00000000-0010-0000-0100-000016000000}" name="hexil_acetate_total"/>
    <tableColumn id="23" xr3:uid="{00000000-0010-0000-0100-000017000000}" name="isoamil_acetate_total"/>
    <tableColumn id="24" xr3:uid="{00000000-0010-0000-0100-000018000000}" name="octanoate_de_etilo_total"/>
    <tableColumn id="25" xr3:uid="{00000000-0010-0000-0100-000019000000}" name="phenylethylacetate_total"/>
    <tableColumn id="26" xr3:uid="{00000000-0010-0000-0100-00001A000000}" name="Ethyl_Acetate_total"/>
    <tableColumn id="27" xr3:uid="{00000000-0010-0000-0100-00001B000000}" name="Código ensayo"/>
    <tableColumn id="28" xr3:uid="{00000000-0010-0000-0100-00001C000000}" name="fecha_hora_original"/>
    <tableColumn id="29" xr3:uid="{00000000-0010-0000-0100-00001D000000}" name="fecha_hora_nota"/>
    <tableColumn id="30" xr3:uid="{00000000-0010-0000-0100-00001E000000}" name="base_t_origen"/>
    <tableColumn id="31" xr3:uid="{00000000-0010-0000-0100-00001F000000}" name="temperatura_fuente"/>
    <tableColumn id="32" xr3:uid="{00000000-0010-0000-0100-000020000000}" name="temperatura_evento_activo"/>
    <tableColumn id="33" xr3:uid="{00000000-0010-0000-0100-000021000000}" name="protocolo_inferido"/>
    <tableColumn id="34" xr3:uid="{00000000-0010-0000-0100-000022000000}" name="pulso_nut_evento"/>
    <tableColumn id="35" xr3:uid="{00000000-0010-0000-0100-000023000000}" name="pulso_nut_t_h"/>
    <tableColumn id="36" xr3:uid="{00000000-0010-0000-0100-000024000000}" name="pulso_nut_tipo"/>
    <tableColumn id="37" xr3:uid="{00000000-0010-0000-0100-000025000000}" name="Brix"/>
    <tableColumn id="38" xr3:uid="{00000000-0010-0000-0100-000026000000}" name="pH"/>
    <tableColumn id="39" xr3:uid="{00000000-0010-0000-0100-000027000000}" name="DO"/>
    <tableColumn id="40" xr3:uid="{00000000-0010-0000-0100-000028000000}" name="Oculyze Concentration"/>
    <tableColumn id="41" xr3:uid="{00000000-0010-0000-0100-000029000000}" name="Oculyze Budding"/>
    <tableColumn id="42" xr3:uid="{00000000-0010-0000-0100-00002A000000}" name="Y15 Glucosa-Fructosa"/>
    <tableColumn id="43" xr3:uid="{00000000-0010-0000-0100-00002B000000}" name="Y15 Acetico"/>
    <tableColumn id="44" xr3:uid="{00000000-0010-0000-0100-00002C000000}" name="Cf Alcolyzer (% v/v)"/>
    <tableColumn id="45" xr3:uid="{00000000-0010-0000-0100-00002D000000}" name="Cf Alcolyzer Real (% v/v)"/>
    <tableColumn id="46" xr3:uid="{00000000-0010-0000-0100-00002E000000}" name="Tipo muestra"/>
    <tableColumn id="47" xr3:uid="{00000000-0010-0000-0100-00002F000000}" name="Hito"/>
    <tableColumn id="48" xr3:uid="{00000000-0010-0000-0100-000030000000}" name="Matriz"/>
    <tableColumn id="49" xr3:uid="{00000000-0010-0000-0100-000031000000}" name="Volumen total (mL)"/>
    <tableColumn id="50" xr3:uid="{00000000-0010-0000-0100-000032000000}" name="Contenedores"/>
    <tableColumn id="51" xr3:uid="{00000000-0010-0000-0100-000033000000}" name="Análisis planificados"/>
    <tableColumn id="52" xr3:uid="{00000000-0010-0000-0100-000034000000}" name="Estado muestreo"/>
    <tableColumn id="53" xr3:uid="{00000000-0010-0000-0100-000035000000}" name="Peso recipiente (g)"/>
    <tableColumn id="54" xr3:uid="{00000000-0010-0000-0100-000036000000}" name="Extracto seco (g)"/>
    <tableColumn id="55" xr3:uid="{00000000-0010-0000-0100-000037000000}" name="GC-MS/MS MEF"/>
    <tableColumn id="56" xr3:uid="{00000000-0010-0000-0100-000038000000}" name="GC-MS/MS Cond"/>
    <tableColumn id="57" xr3:uid="{00000000-0010-0000-0100-000039000000}" name="Freezer"/>
    <tableColumn id="58" xr3:uid="{00000000-0010-0000-0100-00003A000000}" name="Caja"/>
    <tableColumn id="59" xr3:uid="{00000000-0010-0000-0100-00003B000000}" name="Posición"/>
    <tableColumn id="60" xr3:uid="{00000000-0010-0000-0100-00003C000000}" name="Aroma Vol GC (mL)"/>
    <tableColumn id="61" xr3:uid="{00000000-0010-0000-0100-00003D000000}" name="Aroma Dilución 1:X"/>
    <tableColumn id="62" xr3:uid="{00000000-0010-0000-0100-00003E000000}" name="Aroma GA muestra (% v/v)"/>
    <tableColumn id="63" xr3:uid="{00000000-0010-0000-0100-00003F000000}" name="Aroma EtOH objetivo (%)"/>
    <tableColumn id="64" xr3:uid="{00000000-0010-0000-0100-000040000000}" name="Aroma Alcohol HPLC 100% (uL)"/>
    <tableColumn id="65" xr3:uid="{00000000-0010-0000-0100-000041000000}" name="Aroma Vol muestra (µL)"/>
    <tableColumn id="66" xr3:uid="{00000000-0010-0000-0100-000042000000}" name="Temporada"/>
    <tableColumn id="67" xr3:uid="{00000000-0010-0000-0100-000043000000}" name="Proyecto"/>
    <tableColumn id="68" xr3:uid="{00000000-0010-0000-0100-000044000000}" name="Escala"/>
    <tableColumn id="69" xr3:uid="{00000000-0010-0000-0100-000045000000}" name="Lote"/>
    <tableColumn id="70" xr3:uid="{00000000-0010-0000-0100-000046000000}" name="Reactor/Estanque"/>
    <tableColumn id="71" xr3:uid="{00000000-0010-0000-0100-000047000000}" name="Condición"/>
    <tableColumn id="72" xr3:uid="{00000000-0010-0000-0100-000048000000}" name="Réplica"/>
    <tableColumn id="73" xr3:uid="{00000000-0010-0000-0100-000049000000}" name="Variedad"/>
    <tableColumn id="74" xr3:uid="{00000000-0010-0000-0100-00004A000000}" name="Levadura"/>
    <tableColumn id="75" xr3:uid="{00000000-0010-0000-0100-00004B000000}" name="Volumen inicial (L)"/>
    <tableColumn id="76" xr3:uid="{00000000-0010-0000-0100-00004C000000}" name="Objetivo específico"/>
    <tableColumn id="77" xr3:uid="{00000000-0010-0000-0100-00004D000000}" name="Observaciones ensayo"/>
    <tableColumn id="78" xr3:uid="{00000000-0010-0000-0100-00004E000000}" name="Codigo_fuente"/>
    <tableColumn id="79" xr3:uid="{00000000-0010-0000-0100-00004F000000}" name="Cubada"/>
    <tableColumn id="80" xr3:uid="{00000000-0010-0000-0100-000050000000}" name="Temperatura Medida"/>
    <tableColumn id="81" xr3:uid="{00000000-0010-0000-0100-000051000000}" name="Temperatura_operacional_columna_Temperatura"/>
    <tableColumn id="82" xr3:uid="{00000000-0010-0000-0100-000052000000}" name="Adicion"/>
    <tableColumn id="83" xr3:uid="{00000000-0010-0000-0100-000053000000}" name="GLU-FRU-320"/>
    <tableColumn id="84" xr3:uid="{00000000-0010-0000-0100-000054000000}" name="GLUCOSE-320"/>
    <tableColumn id="85" xr3:uid="{00000000-0010-0000-0100-000055000000}" name="FRUCTOSE_inferida"/>
    <tableColumn id="86" xr3:uid="{00000000-0010-0000-0100-000056000000}" name="C_total"/>
    <tableColumn id="87" xr3:uid="{00000000-0010-0000-0100-000057000000}" name="C_viable"/>
    <tableColumn id="88" xr3:uid="{00000000-0010-0000-0100-000058000000}" name="Budding_Index"/>
    <tableColumn id="89" xr3:uid="{00000000-0010-0000-0100-000059000000}" name="DateTime_serial"/>
    <tableColumn id="90" xr3:uid="{00000000-0010-0000-0100-00005A000000}" name="Archivo_origen"/>
    <tableColumn id="91" xr3:uid="{00000000-0010-0000-0100-00005B000000}" name="flag_calidad"/>
    <tableColumn id="92" xr3:uid="{00000000-0010-0000-0100-00005C000000}" name="observaciones_CC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MS008" displayName="T_MS008" ref="A1:CN11">
  <tableColumns count="92">
    <tableColumn id="1" xr3:uid="{00000000-0010-0000-0200-000001000000}" name="ID"/>
    <tableColumn id="2" xr3:uid="{00000000-0010-0000-0200-000002000000}" name="fecha_hora"/>
    <tableColumn id="3" xr3:uid="{00000000-0010-0000-0200-000003000000}" name="t"/>
    <tableColumn id="4" xr3:uid="{00000000-0010-0000-0200-000004000000}" name="temperatura"/>
    <tableColumn id="5" xr3:uid="{00000000-0010-0000-0200-000005000000}" name="densidad"/>
    <tableColumn id="6" xr3:uid="{00000000-0010-0000-0200-000006000000}" name="Viability"/>
    <tableColumn id="7" xr3:uid="{00000000-0010-0000-0200-000007000000}" name="Peso Seco"/>
    <tableColumn id="8" xr3:uid="{00000000-0010-0000-0200-000008000000}" name="GLUCOSE"/>
    <tableColumn id="9" xr3:uid="{00000000-0010-0000-0200-000009000000}" name="FRUCTOSE"/>
    <tableColumn id="10" xr3:uid="{00000000-0010-0000-0200-00000A000000}" name="PAN"/>
    <tableColumn id="11" xr3:uid="{00000000-0010-0000-0200-00000B000000}" name="AMMONIA"/>
    <tableColumn id="12" xr3:uid="{00000000-0010-0000-0200-00000C000000}" name="YAN"/>
    <tableColumn id="13" xr3:uid="{00000000-0010-0000-0200-00000D000000}" name="GLYCEROL"/>
    <tableColumn id="14" xr3:uid="{00000000-0010-0000-0200-00000E000000}" name="PYRUVIC ACID"/>
    <tableColumn id="15" xr3:uid="{00000000-0010-0000-0200-00000F000000}" name="PYRUVIC ACID2"/>
    <tableColumn id="16" xr3:uid="{00000000-0010-0000-0200-000010000000}" name="ACETALDEHIDO"/>
    <tableColumn id="17" xr3:uid="{00000000-0010-0000-0200-000011000000}" name="ETANOL"/>
    <tableColumn id="18" xr3:uid="{00000000-0010-0000-0200-000012000000}" name="pulso_nut"/>
    <tableColumn id="19" xr3:uid="{00000000-0010-0000-0200-000013000000}" name="bencil_alcohol_total"/>
    <tableColumn id="20" xr3:uid="{00000000-0010-0000-0200-000014000000}" name="benzaldehido_total"/>
    <tableColumn id="21" xr3:uid="{00000000-0010-0000-0200-000015000000}" name="decanoato_de_etilo_total"/>
    <tableColumn id="22" xr3:uid="{00000000-0010-0000-0200-000016000000}" name="hexil_acetate_total"/>
    <tableColumn id="23" xr3:uid="{00000000-0010-0000-0200-000017000000}" name="isoamil_acetate_total"/>
    <tableColumn id="24" xr3:uid="{00000000-0010-0000-0200-000018000000}" name="octanoate_de_etilo_total"/>
    <tableColumn id="25" xr3:uid="{00000000-0010-0000-0200-000019000000}" name="phenylethylacetate_total"/>
    <tableColumn id="26" xr3:uid="{00000000-0010-0000-0200-00001A000000}" name="Ethyl_Acetate_total"/>
    <tableColumn id="27" xr3:uid="{00000000-0010-0000-0200-00001B000000}" name="Código ensayo"/>
    <tableColumn id="28" xr3:uid="{00000000-0010-0000-0200-00001C000000}" name="fecha_hora_original"/>
    <tableColumn id="29" xr3:uid="{00000000-0010-0000-0200-00001D000000}" name="fecha_hora_nota"/>
    <tableColumn id="30" xr3:uid="{00000000-0010-0000-0200-00001E000000}" name="base_t_origen"/>
    <tableColumn id="31" xr3:uid="{00000000-0010-0000-0200-00001F000000}" name="temperatura_fuente"/>
    <tableColumn id="32" xr3:uid="{00000000-0010-0000-0200-000020000000}" name="temperatura_evento_activo"/>
    <tableColumn id="33" xr3:uid="{00000000-0010-0000-0200-000021000000}" name="protocolo_inferido"/>
    <tableColumn id="34" xr3:uid="{00000000-0010-0000-0200-000022000000}" name="pulso_nut_evento"/>
    <tableColumn id="35" xr3:uid="{00000000-0010-0000-0200-000023000000}" name="pulso_nut_t_h"/>
    <tableColumn id="36" xr3:uid="{00000000-0010-0000-0200-000024000000}" name="pulso_nut_tipo"/>
    <tableColumn id="37" xr3:uid="{00000000-0010-0000-0200-000025000000}" name="Brix"/>
    <tableColumn id="38" xr3:uid="{00000000-0010-0000-0200-000026000000}" name="pH"/>
    <tableColumn id="39" xr3:uid="{00000000-0010-0000-0200-000027000000}" name="DO"/>
    <tableColumn id="40" xr3:uid="{00000000-0010-0000-0200-000028000000}" name="Oculyze Concentration"/>
    <tableColumn id="41" xr3:uid="{00000000-0010-0000-0200-000029000000}" name="Oculyze Budding"/>
    <tableColumn id="42" xr3:uid="{00000000-0010-0000-0200-00002A000000}" name="Y15 Glucosa-Fructosa"/>
    <tableColumn id="43" xr3:uid="{00000000-0010-0000-0200-00002B000000}" name="Y15 Acetico"/>
    <tableColumn id="44" xr3:uid="{00000000-0010-0000-0200-00002C000000}" name="Cf Alcolyzer (% v/v)"/>
    <tableColumn id="45" xr3:uid="{00000000-0010-0000-0200-00002D000000}" name="Cf Alcolyzer Real (% v/v)"/>
    <tableColumn id="46" xr3:uid="{00000000-0010-0000-0200-00002E000000}" name="Tipo muestra"/>
    <tableColumn id="47" xr3:uid="{00000000-0010-0000-0200-00002F000000}" name="Hito"/>
    <tableColumn id="48" xr3:uid="{00000000-0010-0000-0200-000030000000}" name="Matriz"/>
    <tableColumn id="49" xr3:uid="{00000000-0010-0000-0200-000031000000}" name="Volumen total (mL)"/>
    <tableColumn id="50" xr3:uid="{00000000-0010-0000-0200-000032000000}" name="Contenedores"/>
    <tableColumn id="51" xr3:uid="{00000000-0010-0000-0200-000033000000}" name="Análisis planificados"/>
    <tableColumn id="52" xr3:uid="{00000000-0010-0000-0200-000034000000}" name="Estado muestreo"/>
    <tableColumn id="53" xr3:uid="{00000000-0010-0000-0200-000035000000}" name="Peso recipiente (g)"/>
    <tableColumn id="54" xr3:uid="{00000000-0010-0000-0200-000036000000}" name="Extracto seco (g)"/>
    <tableColumn id="55" xr3:uid="{00000000-0010-0000-0200-000037000000}" name="GC-MS/MS MEF"/>
    <tableColumn id="56" xr3:uid="{00000000-0010-0000-0200-000038000000}" name="GC-MS/MS Cond"/>
    <tableColumn id="57" xr3:uid="{00000000-0010-0000-0200-000039000000}" name="Freezer"/>
    <tableColumn id="58" xr3:uid="{00000000-0010-0000-0200-00003A000000}" name="Caja"/>
    <tableColumn id="59" xr3:uid="{00000000-0010-0000-0200-00003B000000}" name="Posición"/>
    <tableColumn id="60" xr3:uid="{00000000-0010-0000-0200-00003C000000}" name="Aroma Vol GC (mL)"/>
    <tableColumn id="61" xr3:uid="{00000000-0010-0000-0200-00003D000000}" name="Aroma Dilución 1:X"/>
    <tableColumn id="62" xr3:uid="{00000000-0010-0000-0200-00003E000000}" name="Aroma GA muestra (% v/v)"/>
    <tableColumn id="63" xr3:uid="{00000000-0010-0000-0200-00003F000000}" name="Aroma EtOH objetivo (%)"/>
    <tableColumn id="64" xr3:uid="{00000000-0010-0000-0200-000040000000}" name="Aroma Alcohol HPLC 100% (uL)"/>
    <tableColumn id="65" xr3:uid="{00000000-0010-0000-0200-000041000000}" name="Aroma Vol muestra (µL)"/>
    <tableColumn id="66" xr3:uid="{00000000-0010-0000-0200-000042000000}" name="Temporada"/>
    <tableColumn id="67" xr3:uid="{00000000-0010-0000-0200-000043000000}" name="Proyecto"/>
    <tableColumn id="68" xr3:uid="{00000000-0010-0000-0200-000044000000}" name="Escala"/>
    <tableColumn id="69" xr3:uid="{00000000-0010-0000-0200-000045000000}" name="Lote"/>
    <tableColumn id="70" xr3:uid="{00000000-0010-0000-0200-000046000000}" name="Reactor/Estanque"/>
    <tableColumn id="71" xr3:uid="{00000000-0010-0000-0200-000047000000}" name="Condición"/>
    <tableColumn id="72" xr3:uid="{00000000-0010-0000-0200-000048000000}" name="Réplica"/>
    <tableColumn id="73" xr3:uid="{00000000-0010-0000-0200-000049000000}" name="Variedad"/>
    <tableColumn id="74" xr3:uid="{00000000-0010-0000-0200-00004A000000}" name="Levadura"/>
    <tableColumn id="75" xr3:uid="{00000000-0010-0000-0200-00004B000000}" name="Volumen inicial (L)"/>
    <tableColumn id="76" xr3:uid="{00000000-0010-0000-0200-00004C000000}" name="Objetivo específico"/>
    <tableColumn id="77" xr3:uid="{00000000-0010-0000-0200-00004D000000}" name="Observaciones ensayo"/>
    <tableColumn id="78" xr3:uid="{00000000-0010-0000-0200-00004E000000}" name="Codigo_fuente"/>
    <tableColumn id="79" xr3:uid="{00000000-0010-0000-0200-00004F000000}" name="Cubada"/>
    <tableColumn id="80" xr3:uid="{00000000-0010-0000-0200-000050000000}" name="Temperatura Medida"/>
    <tableColumn id="81" xr3:uid="{00000000-0010-0000-0200-000051000000}" name="Temperatura_operacional_columna_Temperatura"/>
    <tableColumn id="82" xr3:uid="{00000000-0010-0000-0200-000052000000}" name="Adicion"/>
    <tableColumn id="83" xr3:uid="{00000000-0010-0000-0200-000053000000}" name="GLU-FRU-320"/>
    <tableColumn id="84" xr3:uid="{00000000-0010-0000-0200-000054000000}" name="GLUCOSE-320"/>
    <tableColumn id="85" xr3:uid="{00000000-0010-0000-0200-000055000000}" name="FRUCTOSE_inferida"/>
    <tableColumn id="86" xr3:uid="{00000000-0010-0000-0200-000056000000}" name="C_total"/>
    <tableColumn id="87" xr3:uid="{00000000-0010-0000-0200-000057000000}" name="C_viable"/>
    <tableColumn id="88" xr3:uid="{00000000-0010-0000-0200-000058000000}" name="Budding_Index"/>
    <tableColumn id="89" xr3:uid="{00000000-0010-0000-0200-000059000000}" name="DateTime_serial"/>
    <tableColumn id="90" xr3:uid="{00000000-0010-0000-0200-00005A000000}" name="Archivo_origen"/>
    <tableColumn id="91" xr3:uid="{00000000-0010-0000-0200-00005B000000}" name="flag_calidad"/>
    <tableColumn id="92" xr3:uid="{00000000-0010-0000-0200-00005C000000}" name="observaciones_CC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MS009" displayName="T_MS009" ref="A1:CN11">
  <tableColumns count="92">
    <tableColumn id="1" xr3:uid="{00000000-0010-0000-0300-000001000000}" name="ID"/>
    <tableColumn id="2" xr3:uid="{00000000-0010-0000-0300-000002000000}" name="fecha_hora"/>
    <tableColumn id="3" xr3:uid="{00000000-0010-0000-0300-000003000000}" name="t"/>
    <tableColumn id="4" xr3:uid="{00000000-0010-0000-0300-000004000000}" name="temperatura"/>
    <tableColumn id="5" xr3:uid="{00000000-0010-0000-0300-000005000000}" name="densidad"/>
    <tableColumn id="6" xr3:uid="{00000000-0010-0000-0300-000006000000}" name="Viability"/>
    <tableColumn id="7" xr3:uid="{00000000-0010-0000-0300-000007000000}" name="Peso Seco"/>
    <tableColumn id="8" xr3:uid="{00000000-0010-0000-0300-000008000000}" name="GLUCOSE"/>
    <tableColumn id="9" xr3:uid="{00000000-0010-0000-0300-000009000000}" name="FRUCTOSE"/>
    <tableColumn id="10" xr3:uid="{00000000-0010-0000-0300-00000A000000}" name="PAN"/>
    <tableColumn id="11" xr3:uid="{00000000-0010-0000-0300-00000B000000}" name="AMMONIA"/>
    <tableColumn id="12" xr3:uid="{00000000-0010-0000-0300-00000C000000}" name="YAN"/>
    <tableColumn id="13" xr3:uid="{00000000-0010-0000-0300-00000D000000}" name="GLYCEROL"/>
    <tableColumn id="14" xr3:uid="{00000000-0010-0000-0300-00000E000000}" name="PYRUVIC ACID"/>
    <tableColumn id="15" xr3:uid="{00000000-0010-0000-0300-00000F000000}" name="PYRUVIC ACID2"/>
    <tableColumn id="16" xr3:uid="{00000000-0010-0000-0300-000010000000}" name="ACETALDEHIDO"/>
    <tableColumn id="17" xr3:uid="{00000000-0010-0000-0300-000011000000}" name="ETANOL"/>
    <tableColumn id="18" xr3:uid="{00000000-0010-0000-0300-000012000000}" name="pulso_nut"/>
    <tableColumn id="19" xr3:uid="{00000000-0010-0000-0300-000013000000}" name="bencil_alcohol_total"/>
    <tableColumn id="20" xr3:uid="{00000000-0010-0000-0300-000014000000}" name="benzaldehido_total"/>
    <tableColumn id="21" xr3:uid="{00000000-0010-0000-0300-000015000000}" name="decanoato_de_etilo_total"/>
    <tableColumn id="22" xr3:uid="{00000000-0010-0000-0300-000016000000}" name="hexil_acetate_total"/>
    <tableColumn id="23" xr3:uid="{00000000-0010-0000-0300-000017000000}" name="isoamil_acetate_total"/>
    <tableColumn id="24" xr3:uid="{00000000-0010-0000-0300-000018000000}" name="octanoate_de_etilo_total"/>
    <tableColumn id="25" xr3:uid="{00000000-0010-0000-0300-000019000000}" name="phenylethylacetate_total"/>
    <tableColumn id="26" xr3:uid="{00000000-0010-0000-0300-00001A000000}" name="Ethyl_Acetate_total"/>
    <tableColumn id="27" xr3:uid="{00000000-0010-0000-0300-00001B000000}" name="Código ensayo"/>
    <tableColumn id="28" xr3:uid="{00000000-0010-0000-0300-00001C000000}" name="fecha_hora_original"/>
    <tableColumn id="29" xr3:uid="{00000000-0010-0000-0300-00001D000000}" name="fecha_hora_nota"/>
    <tableColumn id="30" xr3:uid="{00000000-0010-0000-0300-00001E000000}" name="base_t_origen"/>
    <tableColumn id="31" xr3:uid="{00000000-0010-0000-0300-00001F000000}" name="temperatura_fuente"/>
    <tableColumn id="32" xr3:uid="{00000000-0010-0000-0300-000020000000}" name="temperatura_evento_activo"/>
    <tableColumn id="33" xr3:uid="{00000000-0010-0000-0300-000021000000}" name="protocolo_inferido"/>
    <tableColumn id="34" xr3:uid="{00000000-0010-0000-0300-000022000000}" name="pulso_nut_evento"/>
    <tableColumn id="35" xr3:uid="{00000000-0010-0000-0300-000023000000}" name="pulso_nut_t_h"/>
    <tableColumn id="36" xr3:uid="{00000000-0010-0000-0300-000024000000}" name="pulso_nut_tipo"/>
    <tableColumn id="37" xr3:uid="{00000000-0010-0000-0300-000025000000}" name="Brix"/>
    <tableColumn id="38" xr3:uid="{00000000-0010-0000-0300-000026000000}" name="pH"/>
    <tableColumn id="39" xr3:uid="{00000000-0010-0000-0300-000027000000}" name="DO"/>
    <tableColumn id="40" xr3:uid="{00000000-0010-0000-0300-000028000000}" name="Oculyze Concentration"/>
    <tableColumn id="41" xr3:uid="{00000000-0010-0000-0300-000029000000}" name="Oculyze Budding"/>
    <tableColumn id="42" xr3:uid="{00000000-0010-0000-0300-00002A000000}" name="Y15 Glucosa-Fructosa"/>
    <tableColumn id="43" xr3:uid="{00000000-0010-0000-0300-00002B000000}" name="Y15 Acetico"/>
    <tableColumn id="44" xr3:uid="{00000000-0010-0000-0300-00002C000000}" name="Cf Alcolyzer (% v/v)"/>
    <tableColumn id="45" xr3:uid="{00000000-0010-0000-0300-00002D000000}" name="Cf Alcolyzer Real (% v/v)"/>
    <tableColumn id="46" xr3:uid="{00000000-0010-0000-0300-00002E000000}" name="Tipo muestra"/>
    <tableColumn id="47" xr3:uid="{00000000-0010-0000-0300-00002F000000}" name="Hito"/>
    <tableColumn id="48" xr3:uid="{00000000-0010-0000-0300-000030000000}" name="Matriz"/>
    <tableColumn id="49" xr3:uid="{00000000-0010-0000-0300-000031000000}" name="Volumen total (mL)"/>
    <tableColumn id="50" xr3:uid="{00000000-0010-0000-0300-000032000000}" name="Contenedores"/>
    <tableColumn id="51" xr3:uid="{00000000-0010-0000-0300-000033000000}" name="Análisis planificados"/>
    <tableColumn id="52" xr3:uid="{00000000-0010-0000-0300-000034000000}" name="Estado muestreo"/>
    <tableColumn id="53" xr3:uid="{00000000-0010-0000-0300-000035000000}" name="Peso recipiente (g)"/>
    <tableColumn id="54" xr3:uid="{00000000-0010-0000-0300-000036000000}" name="Extracto seco (g)"/>
    <tableColumn id="55" xr3:uid="{00000000-0010-0000-0300-000037000000}" name="GC-MS/MS MEF"/>
    <tableColumn id="56" xr3:uid="{00000000-0010-0000-0300-000038000000}" name="GC-MS/MS Cond"/>
    <tableColumn id="57" xr3:uid="{00000000-0010-0000-0300-000039000000}" name="Freezer"/>
    <tableColumn id="58" xr3:uid="{00000000-0010-0000-0300-00003A000000}" name="Caja"/>
    <tableColumn id="59" xr3:uid="{00000000-0010-0000-0300-00003B000000}" name="Posición"/>
    <tableColumn id="60" xr3:uid="{00000000-0010-0000-0300-00003C000000}" name="Aroma Vol GC (mL)"/>
    <tableColumn id="61" xr3:uid="{00000000-0010-0000-0300-00003D000000}" name="Aroma Dilución 1:X"/>
    <tableColumn id="62" xr3:uid="{00000000-0010-0000-0300-00003E000000}" name="Aroma GA muestra (% v/v)"/>
    <tableColumn id="63" xr3:uid="{00000000-0010-0000-0300-00003F000000}" name="Aroma EtOH objetivo (%)"/>
    <tableColumn id="64" xr3:uid="{00000000-0010-0000-0300-000040000000}" name="Aroma Alcohol HPLC 100% (uL)"/>
    <tableColumn id="65" xr3:uid="{00000000-0010-0000-0300-000041000000}" name="Aroma Vol muestra (µL)"/>
    <tableColumn id="66" xr3:uid="{00000000-0010-0000-0300-000042000000}" name="Temporada"/>
    <tableColumn id="67" xr3:uid="{00000000-0010-0000-0300-000043000000}" name="Proyecto"/>
    <tableColumn id="68" xr3:uid="{00000000-0010-0000-0300-000044000000}" name="Escala"/>
    <tableColumn id="69" xr3:uid="{00000000-0010-0000-0300-000045000000}" name="Lote"/>
    <tableColumn id="70" xr3:uid="{00000000-0010-0000-0300-000046000000}" name="Reactor/Estanque"/>
    <tableColumn id="71" xr3:uid="{00000000-0010-0000-0300-000047000000}" name="Condición"/>
    <tableColumn id="72" xr3:uid="{00000000-0010-0000-0300-000048000000}" name="Réplica"/>
    <tableColumn id="73" xr3:uid="{00000000-0010-0000-0300-000049000000}" name="Variedad"/>
    <tableColumn id="74" xr3:uid="{00000000-0010-0000-0300-00004A000000}" name="Levadura"/>
    <tableColumn id="75" xr3:uid="{00000000-0010-0000-0300-00004B000000}" name="Volumen inicial (L)"/>
    <tableColumn id="76" xr3:uid="{00000000-0010-0000-0300-00004C000000}" name="Objetivo específico"/>
    <tableColumn id="77" xr3:uid="{00000000-0010-0000-0300-00004D000000}" name="Observaciones ensayo"/>
    <tableColumn id="78" xr3:uid="{00000000-0010-0000-0300-00004E000000}" name="Codigo_fuente"/>
    <tableColumn id="79" xr3:uid="{00000000-0010-0000-0300-00004F000000}" name="Cubada"/>
    <tableColumn id="80" xr3:uid="{00000000-0010-0000-0300-000050000000}" name="Temperatura Medida"/>
    <tableColumn id="81" xr3:uid="{00000000-0010-0000-0300-000051000000}" name="Temperatura_operacional_columna_Temperatura"/>
    <tableColumn id="82" xr3:uid="{00000000-0010-0000-0300-000052000000}" name="Adicion"/>
    <tableColumn id="83" xr3:uid="{00000000-0010-0000-0300-000053000000}" name="GLU-FRU-320"/>
    <tableColumn id="84" xr3:uid="{00000000-0010-0000-0300-000054000000}" name="GLUCOSE-320"/>
    <tableColumn id="85" xr3:uid="{00000000-0010-0000-0300-000055000000}" name="FRUCTOSE_inferida"/>
    <tableColumn id="86" xr3:uid="{00000000-0010-0000-0300-000056000000}" name="C_total"/>
    <tableColumn id="87" xr3:uid="{00000000-0010-0000-0300-000057000000}" name="C_viable"/>
    <tableColumn id="88" xr3:uid="{00000000-0010-0000-0300-000058000000}" name="Budding_Index"/>
    <tableColumn id="89" xr3:uid="{00000000-0010-0000-0300-000059000000}" name="DateTime_serial"/>
    <tableColumn id="90" xr3:uid="{00000000-0010-0000-0300-00005A000000}" name="Archivo_origen"/>
    <tableColumn id="91" xr3:uid="{00000000-0010-0000-0300-00005B000000}" name="flag_calidad"/>
    <tableColumn id="92" xr3:uid="{00000000-0010-0000-0300-00005C000000}" name="observaciones_CC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MS010" displayName="T_MS010" ref="A1:CN11">
  <tableColumns count="92">
    <tableColumn id="1" xr3:uid="{00000000-0010-0000-0400-000001000000}" name="ID"/>
    <tableColumn id="2" xr3:uid="{00000000-0010-0000-0400-000002000000}" name="fecha_hora"/>
    <tableColumn id="3" xr3:uid="{00000000-0010-0000-0400-000003000000}" name="t"/>
    <tableColumn id="4" xr3:uid="{00000000-0010-0000-0400-000004000000}" name="temperatura"/>
    <tableColumn id="5" xr3:uid="{00000000-0010-0000-0400-000005000000}" name="densidad"/>
    <tableColumn id="6" xr3:uid="{00000000-0010-0000-0400-000006000000}" name="Viability"/>
    <tableColumn id="7" xr3:uid="{00000000-0010-0000-0400-000007000000}" name="Peso Seco"/>
    <tableColumn id="8" xr3:uid="{00000000-0010-0000-0400-000008000000}" name="GLUCOSE"/>
    <tableColumn id="9" xr3:uid="{00000000-0010-0000-0400-000009000000}" name="FRUCTOSE"/>
    <tableColumn id="10" xr3:uid="{00000000-0010-0000-0400-00000A000000}" name="PAN"/>
    <tableColumn id="11" xr3:uid="{00000000-0010-0000-0400-00000B000000}" name="AMMONIA"/>
    <tableColumn id="12" xr3:uid="{00000000-0010-0000-0400-00000C000000}" name="YAN"/>
    <tableColumn id="13" xr3:uid="{00000000-0010-0000-0400-00000D000000}" name="GLYCEROL"/>
    <tableColumn id="14" xr3:uid="{00000000-0010-0000-0400-00000E000000}" name="PYRUVIC ACID"/>
    <tableColumn id="15" xr3:uid="{00000000-0010-0000-0400-00000F000000}" name="PYRUVIC ACID2"/>
    <tableColumn id="16" xr3:uid="{00000000-0010-0000-0400-000010000000}" name="ACETALDEHIDO"/>
    <tableColumn id="17" xr3:uid="{00000000-0010-0000-0400-000011000000}" name="ETANOL"/>
    <tableColumn id="18" xr3:uid="{00000000-0010-0000-0400-000012000000}" name="pulso_nut"/>
    <tableColumn id="19" xr3:uid="{00000000-0010-0000-0400-000013000000}" name="bencil_alcohol_total"/>
    <tableColumn id="20" xr3:uid="{00000000-0010-0000-0400-000014000000}" name="benzaldehido_total"/>
    <tableColumn id="21" xr3:uid="{00000000-0010-0000-0400-000015000000}" name="decanoato_de_etilo_total"/>
    <tableColumn id="22" xr3:uid="{00000000-0010-0000-0400-000016000000}" name="hexil_acetate_total"/>
    <tableColumn id="23" xr3:uid="{00000000-0010-0000-0400-000017000000}" name="isoamil_acetate_total"/>
    <tableColumn id="24" xr3:uid="{00000000-0010-0000-0400-000018000000}" name="octanoate_de_etilo_total"/>
    <tableColumn id="25" xr3:uid="{00000000-0010-0000-0400-000019000000}" name="phenylethylacetate_total"/>
    <tableColumn id="26" xr3:uid="{00000000-0010-0000-0400-00001A000000}" name="Ethyl_Acetate_total"/>
    <tableColumn id="27" xr3:uid="{00000000-0010-0000-0400-00001B000000}" name="Código ensayo"/>
    <tableColumn id="28" xr3:uid="{00000000-0010-0000-0400-00001C000000}" name="fecha_hora_original"/>
    <tableColumn id="29" xr3:uid="{00000000-0010-0000-0400-00001D000000}" name="fecha_hora_nota"/>
    <tableColumn id="30" xr3:uid="{00000000-0010-0000-0400-00001E000000}" name="base_t_origen"/>
    <tableColumn id="31" xr3:uid="{00000000-0010-0000-0400-00001F000000}" name="temperatura_fuente"/>
    <tableColumn id="32" xr3:uid="{00000000-0010-0000-0400-000020000000}" name="temperatura_evento_activo"/>
    <tableColumn id="33" xr3:uid="{00000000-0010-0000-0400-000021000000}" name="protocolo_inferido"/>
    <tableColumn id="34" xr3:uid="{00000000-0010-0000-0400-000022000000}" name="pulso_nut_evento"/>
    <tableColumn id="35" xr3:uid="{00000000-0010-0000-0400-000023000000}" name="pulso_nut_t_h"/>
    <tableColumn id="36" xr3:uid="{00000000-0010-0000-0400-000024000000}" name="pulso_nut_tipo"/>
    <tableColumn id="37" xr3:uid="{00000000-0010-0000-0400-000025000000}" name="Brix"/>
    <tableColumn id="38" xr3:uid="{00000000-0010-0000-0400-000026000000}" name="pH"/>
    <tableColumn id="39" xr3:uid="{00000000-0010-0000-0400-000027000000}" name="DO"/>
    <tableColumn id="40" xr3:uid="{00000000-0010-0000-0400-000028000000}" name="Oculyze Concentration"/>
    <tableColumn id="41" xr3:uid="{00000000-0010-0000-0400-000029000000}" name="Oculyze Budding"/>
    <tableColumn id="42" xr3:uid="{00000000-0010-0000-0400-00002A000000}" name="Y15 Glucosa-Fructosa"/>
    <tableColumn id="43" xr3:uid="{00000000-0010-0000-0400-00002B000000}" name="Y15 Acetico"/>
    <tableColumn id="44" xr3:uid="{00000000-0010-0000-0400-00002C000000}" name="Cf Alcolyzer (% v/v)"/>
    <tableColumn id="45" xr3:uid="{00000000-0010-0000-0400-00002D000000}" name="Cf Alcolyzer Real (% v/v)"/>
    <tableColumn id="46" xr3:uid="{00000000-0010-0000-0400-00002E000000}" name="Tipo muestra"/>
    <tableColumn id="47" xr3:uid="{00000000-0010-0000-0400-00002F000000}" name="Hito"/>
    <tableColumn id="48" xr3:uid="{00000000-0010-0000-0400-000030000000}" name="Matriz"/>
    <tableColumn id="49" xr3:uid="{00000000-0010-0000-0400-000031000000}" name="Volumen total (mL)"/>
    <tableColumn id="50" xr3:uid="{00000000-0010-0000-0400-000032000000}" name="Contenedores"/>
    <tableColumn id="51" xr3:uid="{00000000-0010-0000-0400-000033000000}" name="Análisis planificados"/>
    <tableColumn id="52" xr3:uid="{00000000-0010-0000-0400-000034000000}" name="Estado muestreo"/>
    <tableColumn id="53" xr3:uid="{00000000-0010-0000-0400-000035000000}" name="Peso recipiente (g)"/>
    <tableColumn id="54" xr3:uid="{00000000-0010-0000-0400-000036000000}" name="Extracto seco (g)"/>
    <tableColumn id="55" xr3:uid="{00000000-0010-0000-0400-000037000000}" name="GC-MS/MS MEF"/>
    <tableColumn id="56" xr3:uid="{00000000-0010-0000-0400-000038000000}" name="GC-MS/MS Cond"/>
    <tableColumn id="57" xr3:uid="{00000000-0010-0000-0400-000039000000}" name="Freezer"/>
    <tableColumn id="58" xr3:uid="{00000000-0010-0000-0400-00003A000000}" name="Caja"/>
    <tableColumn id="59" xr3:uid="{00000000-0010-0000-0400-00003B000000}" name="Posición"/>
    <tableColumn id="60" xr3:uid="{00000000-0010-0000-0400-00003C000000}" name="Aroma Vol GC (mL)"/>
    <tableColumn id="61" xr3:uid="{00000000-0010-0000-0400-00003D000000}" name="Aroma Dilución 1:X"/>
    <tableColumn id="62" xr3:uid="{00000000-0010-0000-0400-00003E000000}" name="Aroma GA muestra (% v/v)"/>
    <tableColumn id="63" xr3:uid="{00000000-0010-0000-0400-00003F000000}" name="Aroma EtOH objetivo (%)"/>
    <tableColumn id="64" xr3:uid="{00000000-0010-0000-0400-000040000000}" name="Aroma Alcohol HPLC 100% (uL)"/>
    <tableColumn id="65" xr3:uid="{00000000-0010-0000-0400-000041000000}" name="Aroma Vol muestra (µL)"/>
    <tableColumn id="66" xr3:uid="{00000000-0010-0000-0400-000042000000}" name="Temporada"/>
    <tableColumn id="67" xr3:uid="{00000000-0010-0000-0400-000043000000}" name="Proyecto"/>
    <tableColumn id="68" xr3:uid="{00000000-0010-0000-0400-000044000000}" name="Escala"/>
    <tableColumn id="69" xr3:uid="{00000000-0010-0000-0400-000045000000}" name="Lote"/>
    <tableColumn id="70" xr3:uid="{00000000-0010-0000-0400-000046000000}" name="Reactor/Estanque"/>
    <tableColumn id="71" xr3:uid="{00000000-0010-0000-0400-000047000000}" name="Condición"/>
    <tableColumn id="72" xr3:uid="{00000000-0010-0000-0400-000048000000}" name="Réplica"/>
    <tableColumn id="73" xr3:uid="{00000000-0010-0000-0400-000049000000}" name="Variedad"/>
    <tableColumn id="74" xr3:uid="{00000000-0010-0000-0400-00004A000000}" name="Levadura"/>
    <tableColumn id="75" xr3:uid="{00000000-0010-0000-0400-00004B000000}" name="Volumen inicial (L)"/>
    <tableColumn id="76" xr3:uid="{00000000-0010-0000-0400-00004C000000}" name="Objetivo específico"/>
    <tableColumn id="77" xr3:uid="{00000000-0010-0000-0400-00004D000000}" name="Observaciones ensayo"/>
    <tableColumn id="78" xr3:uid="{00000000-0010-0000-0400-00004E000000}" name="Codigo_fuente"/>
    <tableColumn id="79" xr3:uid="{00000000-0010-0000-0400-00004F000000}" name="Cubada"/>
    <tableColumn id="80" xr3:uid="{00000000-0010-0000-0400-000050000000}" name="Temperatura Medida"/>
    <tableColumn id="81" xr3:uid="{00000000-0010-0000-0400-000051000000}" name="Temperatura_operacional_columna_Temperatura"/>
    <tableColumn id="82" xr3:uid="{00000000-0010-0000-0400-000052000000}" name="Adicion"/>
    <tableColumn id="83" xr3:uid="{00000000-0010-0000-0400-000053000000}" name="GLU-FRU-320"/>
    <tableColumn id="84" xr3:uid="{00000000-0010-0000-0400-000054000000}" name="GLUCOSE-320"/>
    <tableColumn id="85" xr3:uid="{00000000-0010-0000-0400-000055000000}" name="FRUCTOSE_inferida"/>
    <tableColumn id="86" xr3:uid="{00000000-0010-0000-0400-000056000000}" name="C_total"/>
    <tableColumn id="87" xr3:uid="{00000000-0010-0000-0400-000057000000}" name="C_viable"/>
    <tableColumn id="88" xr3:uid="{00000000-0010-0000-0400-000058000000}" name="Budding_Index"/>
    <tableColumn id="89" xr3:uid="{00000000-0010-0000-0400-000059000000}" name="DateTime_serial"/>
    <tableColumn id="90" xr3:uid="{00000000-0010-0000-0400-00005A000000}" name="Archivo_origen"/>
    <tableColumn id="91" xr3:uid="{00000000-0010-0000-0400-00005B000000}" name="flag_calidad"/>
    <tableColumn id="92" xr3:uid="{00000000-0010-0000-0400-00005C000000}" name="observaciones_CC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MS011" displayName="T_MS011" ref="A1:CN11">
  <tableColumns count="92">
    <tableColumn id="1" xr3:uid="{00000000-0010-0000-0500-000001000000}" name="ID"/>
    <tableColumn id="2" xr3:uid="{00000000-0010-0000-0500-000002000000}" name="fecha_hora"/>
    <tableColumn id="3" xr3:uid="{00000000-0010-0000-0500-000003000000}" name="t"/>
    <tableColumn id="4" xr3:uid="{00000000-0010-0000-0500-000004000000}" name="temperatura"/>
    <tableColumn id="5" xr3:uid="{00000000-0010-0000-0500-000005000000}" name="densidad"/>
    <tableColumn id="6" xr3:uid="{00000000-0010-0000-0500-000006000000}" name="Viability"/>
    <tableColumn id="7" xr3:uid="{00000000-0010-0000-0500-000007000000}" name="Peso Seco"/>
    <tableColumn id="8" xr3:uid="{00000000-0010-0000-0500-000008000000}" name="GLUCOSE"/>
    <tableColumn id="9" xr3:uid="{00000000-0010-0000-0500-000009000000}" name="FRUCTOSE"/>
    <tableColumn id="10" xr3:uid="{00000000-0010-0000-0500-00000A000000}" name="PAN"/>
    <tableColumn id="11" xr3:uid="{00000000-0010-0000-0500-00000B000000}" name="AMMONIA"/>
    <tableColumn id="12" xr3:uid="{00000000-0010-0000-0500-00000C000000}" name="YAN"/>
    <tableColumn id="13" xr3:uid="{00000000-0010-0000-0500-00000D000000}" name="GLYCEROL"/>
    <tableColumn id="14" xr3:uid="{00000000-0010-0000-0500-00000E000000}" name="PYRUVIC ACID"/>
    <tableColumn id="15" xr3:uid="{00000000-0010-0000-0500-00000F000000}" name="PYRUVIC ACID2"/>
    <tableColumn id="16" xr3:uid="{00000000-0010-0000-0500-000010000000}" name="ACETALDEHIDO"/>
    <tableColumn id="17" xr3:uid="{00000000-0010-0000-0500-000011000000}" name="ETANOL"/>
    <tableColumn id="18" xr3:uid="{00000000-0010-0000-0500-000012000000}" name="pulso_nut"/>
    <tableColumn id="19" xr3:uid="{00000000-0010-0000-0500-000013000000}" name="bencil_alcohol_total"/>
    <tableColumn id="20" xr3:uid="{00000000-0010-0000-0500-000014000000}" name="benzaldehido_total"/>
    <tableColumn id="21" xr3:uid="{00000000-0010-0000-0500-000015000000}" name="decanoato_de_etilo_total"/>
    <tableColumn id="22" xr3:uid="{00000000-0010-0000-0500-000016000000}" name="hexil_acetate_total"/>
    <tableColumn id="23" xr3:uid="{00000000-0010-0000-0500-000017000000}" name="isoamil_acetate_total"/>
    <tableColumn id="24" xr3:uid="{00000000-0010-0000-0500-000018000000}" name="octanoate_de_etilo_total"/>
    <tableColumn id="25" xr3:uid="{00000000-0010-0000-0500-000019000000}" name="phenylethylacetate_total"/>
    <tableColumn id="26" xr3:uid="{00000000-0010-0000-0500-00001A000000}" name="Ethyl_Acetate_total"/>
    <tableColumn id="27" xr3:uid="{00000000-0010-0000-0500-00001B000000}" name="Código ensayo"/>
    <tableColumn id="28" xr3:uid="{00000000-0010-0000-0500-00001C000000}" name="fecha_hora_original"/>
    <tableColumn id="29" xr3:uid="{00000000-0010-0000-0500-00001D000000}" name="fecha_hora_nota"/>
    <tableColumn id="30" xr3:uid="{00000000-0010-0000-0500-00001E000000}" name="base_t_origen"/>
    <tableColumn id="31" xr3:uid="{00000000-0010-0000-0500-00001F000000}" name="temperatura_fuente"/>
    <tableColumn id="32" xr3:uid="{00000000-0010-0000-0500-000020000000}" name="temperatura_evento_activo"/>
    <tableColumn id="33" xr3:uid="{00000000-0010-0000-0500-000021000000}" name="protocolo_inferido"/>
    <tableColumn id="34" xr3:uid="{00000000-0010-0000-0500-000022000000}" name="pulso_nut_evento"/>
    <tableColumn id="35" xr3:uid="{00000000-0010-0000-0500-000023000000}" name="pulso_nut_t_h"/>
    <tableColumn id="36" xr3:uid="{00000000-0010-0000-0500-000024000000}" name="pulso_nut_tipo"/>
    <tableColumn id="37" xr3:uid="{00000000-0010-0000-0500-000025000000}" name="Brix"/>
    <tableColumn id="38" xr3:uid="{00000000-0010-0000-0500-000026000000}" name="pH"/>
    <tableColumn id="39" xr3:uid="{00000000-0010-0000-0500-000027000000}" name="DO"/>
    <tableColumn id="40" xr3:uid="{00000000-0010-0000-0500-000028000000}" name="Oculyze Concentration"/>
    <tableColumn id="41" xr3:uid="{00000000-0010-0000-0500-000029000000}" name="Oculyze Budding"/>
    <tableColumn id="42" xr3:uid="{00000000-0010-0000-0500-00002A000000}" name="Y15 Glucosa-Fructosa"/>
    <tableColumn id="43" xr3:uid="{00000000-0010-0000-0500-00002B000000}" name="Y15 Acetico"/>
    <tableColumn id="44" xr3:uid="{00000000-0010-0000-0500-00002C000000}" name="Cf Alcolyzer (% v/v)"/>
    <tableColumn id="45" xr3:uid="{00000000-0010-0000-0500-00002D000000}" name="Cf Alcolyzer Real (% v/v)"/>
    <tableColumn id="46" xr3:uid="{00000000-0010-0000-0500-00002E000000}" name="Tipo muestra"/>
    <tableColumn id="47" xr3:uid="{00000000-0010-0000-0500-00002F000000}" name="Hito"/>
    <tableColumn id="48" xr3:uid="{00000000-0010-0000-0500-000030000000}" name="Matriz"/>
    <tableColumn id="49" xr3:uid="{00000000-0010-0000-0500-000031000000}" name="Volumen total (mL)"/>
    <tableColumn id="50" xr3:uid="{00000000-0010-0000-0500-000032000000}" name="Contenedores"/>
    <tableColumn id="51" xr3:uid="{00000000-0010-0000-0500-000033000000}" name="Análisis planificados"/>
    <tableColumn id="52" xr3:uid="{00000000-0010-0000-0500-000034000000}" name="Estado muestreo"/>
    <tableColumn id="53" xr3:uid="{00000000-0010-0000-0500-000035000000}" name="Peso recipiente (g)"/>
    <tableColumn id="54" xr3:uid="{00000000-0010-0000-0500-000036000000}" name="Extracto seco (g)"/>
    <tableColumn id="55" xr3:uid="{00000000-0010-0000-0500-000037000000}" name="GC-MS/MS MEF"/>
    <tableColumn id="56" xr3:uid="{00000000-0010-0000-0500-000038000000}" name="GC-MS/MS Cond"/>
    <tableColumn id="57" xr3:uid="{00000000-0010-0000-0500-000039000000}" name="Freezer"/>
    <tableColumn id="58" xr3:uid="{00000000-0010-0000-0500-00003A000000}" name="Caja"/>
    <tableColumn id="59" xr3:uid="{00000000-0010-0000-0500-00003B000000}" name="Posición"/>
    <tableColumn id="60" xr3:uid="{00000000-0010-0000-0500-00003C000000}" name="Aroma Vol GC (mL)"/>
    <tableColumn id="61" xr3:uid="{00000000-0010-0000-0500-00003D000000}" name="Aroma Dilución 1:X"/>
    <tableColumn id="62" xr3:uid="{00000000-0010-0000-0500-00003E000000}" name="Aroma GA muestra (% v/v)"/>
    <tableColumn id="63" xr3:uid="{00000000-0010-0000-0500-00003F000000}" name="Aroma EtOH objetivo (%)"/>
    <tableColumn id="64" xr3:uid="{00000000-0010-0000-0500-000040000000}" name="Aroma Alcohol HPLC 100% (uL)"/>
    <tableColumn id="65" xr3:uid="{00000000-0010-0000-0500-000041000000}" name="Aroma Vol muestra (µL)"/>
    <tableColumn id="66" xr3:uid="{00000000-0010-0000-0500-000042000000}" name="Temporada"/>
    <tableColumn id="67" xr3:uid="{00000000-0010-0000-0500-000043000000}" name="Proyecto"/>
    <tableColumn id="68" xr3:uid="{00000000-0010-0000-0500-000044000000}" name="Escala"/>
    <tableColumn id="69" xr3:uid="{00000000-0010-0000-0500-000045000000}" name="Lote"/>
    <tableColumn id="70" xr3:uid="{00000000-0010-0000-0500-000046000000}" name="Reactor/Estanque"/>
    <tableColumn id="71" xr3:uid="{00000000-0010-0000-0500-000047000000}" name="Condición"/>
    <tableColumn id="72" xr3:uid="{00000000-0010-0000-0500-000048000000}" name="Réplica"/>
    <tableColumn id="73" xr3:uid="{00000000-0010-0000-0500-000049000000}" name="Variedad"/>
    <tableColumn id="74" xr3:uid="{00000000-0010-0000-0500-00004A000000}" name="Levadura"/>
    <tableColumn id="75" xr3:uid="{00000000-0010-0000-0500-00004B000000}" name="Volumen inicial (L)"/>
    <tableColumn id="76" xr3:uid="{00000000-0010-0000-0500-00004C000000}" name="Objetivo específico"/>
    <tableColumn id="77" xr3:uid="{00000000-0010-0000-0500-00004D000000}" name="Observaciones ensayo"/>
    <tableColumn id="78" xr3:uid="{00000000-0010-0000-0500-00004E000000}" name="Codigo_fuente"/>
    <tableColumn id="79" xr3:uid="{00000000-0010-0000-0500-00004F000000}" name="Cubada"/>
    <tableColumn id="80" xr3:uid="{00000000-0010-0000-0500-000050000000}" name="Temperatura Medida"/>
    <tableColumn id="81" xr3:uid="{00000000-0010-0000-0500-000051000000}" name="Temperatura_operacional_columna_Temperatura"/>
    <tableColumn id="82" xr3:uid="{00000000-0010-0000-0500-000052000000}" name="Adicion"/>
    <tableColumn id="83" xr3:uid="{00000000-0010-0000-0500-000053000000}" name="GLU-FRU-320"/>
    <tableColumn id="84" xr3:uid="{00000000-0010-0000-0500-000054000000}" name="GLUCOSE-320"/>
    <tableColumn id="85" xr3:uid="{00000000-0010-0000-0500-000055000000}" name="FRUCTOSE_inferida"/>
    <tableColumn id="86" xr3:uid="{00000000-0010-0000-0500-000056000000}" name="C_total"/>
    <tableColumn id="87" xr3:uid="{00000000-0010-0000-0500-000057000000}" name="C_viable"/>
    <tableColumn id="88" xr3:uid="{00000000-0010-0000-0500-000058000000}" name="Budding_Index"/>
    <tableColumn id="89" xr3:uid="{00000000-0010-0000-0500-000059000000}" name="DateTime_serial"/>
    <tableColumn id="90" xr3:uid="{00000000-0010-0000-0500-00005A000000}" name="Archivo_origen"/>
    <tableColumn id="91" xr3:uid="{00000000-0010-0000-0500-00005B000000}" name="flag_calidad"/>
    <tableColumn id="92" xr3:uid="{00000000-0010-0000-0500-00005C000000}" name="observaciones_CC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MS012" displayName="T_MS012" ref="A1:CN11">
  <tableColumns count="92">
    <tableColumn id="1" xr3:uid="{00000000-0010-0000-0600-000001000000}" name="ID"/>
    <tableColumn id="2" xr3:uid="{00000000-0010-0000-0600-000002000000}" name="fecha_hora"/>
    <tableColumn id="3" xr3:uid="{00000000-0010-0000-0600-000003000000}" name="t"/>
    <tableColumn id="4" xr3:uid="{00000000-0010-0000-0600-000004000000}" name="temperatura"/>
    <tableColumn id="5" xr3:uid="{00000000-0010-0000-0600-000005000000}" name="densidad"/>
    <tableColumn id="6" xr3:uid="{00000000-0010-0000-0600-000006000000}" name="Viability"/>
    <tableColumn id="7" xr3:uid="{00000000-0010-0000-0600-000007000000}" name="Peso Seco"/>
    <tableColumn id="8" xr3:uid="{00000000-0010-0000-0600-000008000000}" name="GLUCOSE"/>
    <tableColumn id="9" xr3:uid="{00000000-0010-0000-0600-000009000000}" name="FRUCTOSE"/>
    <tableColumn id="10" xr3:uid="{00000000-0010-0000-0600-00000A000000}" name="PAN"/>
    <tableColumn id="11" xr3:uid="{00000000-0010-0000-0600-00000B000000}" name="AMMONIA"/>
    <tableColumn id="12" xr3:uid="{00000000-0010-0000-0600-00000C000000}" name="YAN"/>
    <tableColumn id="13" xr3:uid="{00000000-0010-0000-0600-00000D000000}" name="GLYCEROL"/>
    <tableColumn id="14" xr3:uid="{00000000-0010-0000-0600-00000E000000}" name="PYRUVIC ACID"/>
    <tableColumn id="15" xr3:uid="{00000000-0010-0000-0600-00000F000000}" name="PYRUVIC ACID2"/>
    <tableColumn id="16" xr3:uid="{00000000-0010-0000-0600-000010000000}" name="ACETALDEHIDO"/>
    <tableColumn id="17" xr3:uid="{00000000-0010-0000-0600-000011000000}" name="ETANOL"/>
    <tableColumn id="18" xr3:uid="{00000000-0010-0000-0600-000012000000}" name="pulso_nut"/>
    <tableColumn id="19" xr3:uid="{00000000-0010-0000-0600-000013000000}" name="bencil_alcohol_total"/>
    <tableColumn id="20" xr3:uid="{00000000-0010-0000-0600-000014000000}" name="benzaldehido_total"/>
    <tableColumn id="21" xr3:uid="{00000000-0010-0000-0600-000015000000}" name="decanoato_de_etilo_total"/>
    <tableColumn id="22" xr3:uid="{00000000-0010-0000-0600-000016000000}" name="hexil_acetate_total"/>
    <tableColumn id="23" xr3:uid="{00000000-0010-0000-0600-000017000000}" name="isoamil_acetate_total"/>
    <tableColumn id="24" xr3:uid="{00000000-0010-0000-0600-000018000000}" name="octanoate_de_etilo_total"/>
    <tableColumn id="25" xr3:uid="{00000000-0010-0000-0600-000019000000}" name="phenylethylacetate_total"/>
    <tableColumn id="26" xr3:uid="{00000000-0010-0000-0600-00001A000000}" name="Ethyl_Acetate_total"/>
    <tableColumn id="27" xr3:uid="{00000000-0010-0000-0600-00001B000000}" name="Código ensayo"/>
    <tableColumn id="28" xr3:uid="{00000000-0010-0000-0600-00001C000000}" name="fecha_hora_original"/>
    <tableColumn id="29" xr3:uid="{00000000-0010-0000-0600-00001D000000}" name="fecha_hora_nota"/>
    <tableColumn id="30" xr3:uid="{00000000-0010-0000-0600-00001E000000}" name="base_t_origen"/>
    <tableColumn id="31" xr3:uid="{00000000-0010-0000-0600-00001F000000}" name="temperatura_fuente"/>
    <tableColumn id="32" xr3:uid="{00000000-0010-0000-0600-000020000000}" name="temperatura_evento_activo"/>
    <tableColumn id="33" xr3:uid="{00000000-0010-0000-0600-000021000000}" name="protocolo_inferido"/>
    <tableColumn id="34" xr3:uid="{00000000-0010-0000-0600-000022000000}" name="pulso_nut_evento"/>
    <tableColumn id="35" xr3:uid="{00000000-0010-0000-0600-000023000000}" name="pulso_nut_t_h"/>
    <tableColumn id="36" xr3:uid="{00000000-0010-0000-0600-000024000000}" name="pulso_nut_tipo"/>
    <tableColumn id="37" xr3:uid="{00000000-0010-0000-0600-000025000000}" name="Brix"/>
    <tableColumn id="38" xr3:uid="{00000000-0010-0000-0600-000026000000}" name="pH"/>
    <tableColumn id="39" xr3:uid="{00000000-0010-0000-0600-000027000000}" name="DO"/>
    <tableColumn id="40" xr3:uid="{00000000-0010-0000-0600-000028000000}" name="Oculyze Concentration"/>
    <tableColumn id="41" xr3:uid="{00000000-0010-0000-0600-000029000000}" name="Oculyze Budding"/>
    <tableColumn id="42" xr3:uid="{00000000-0010-0000-0600-00002A000000}" name="Y15 Glucosa-Fructosa"/>
    <tableColumn id="43" xr3:uid="{00000000-0010-0000-0600-00002B000000}" name="Y15 Acetico"/>
    <tableColumn id="44" xr3:uid="{00000000-0010-0000-0600-00002C000000}" name="Cf Alcolyzer (% v/v)"/>
    <tableColumn id="45" xr3:uid="{00000000-0010-0000-0600-00002D000000}" name="Cf Alcolyzer Real (% v/v)"/>
    <tableColumn id="46" xr3:uid="{00000000-0010-0000-0600-00002E000000}" name="Tipo muestra"/>
    <tableColumn id="47" xr3:uid="{00000000-0010-0000-0600-00002F000000}" name="Hito"/>
    <tableColumn id="48" xr3:uid="{00000000-0010-0000-0600-000030000000}" name="Matriz"/>
    <tableColumn id="49" xr3:uid="{00000000-0010-0000-0600-000031000000}" name="Volumen total (mL)"/>
    <tableColumn id="50" xr3:uid="{00000000-0010-0000-0600-000032000000}" name="Contenedores"/>
    <tableColumn id="51" xr3:uid="{00000000-0010-0000-0600-000033000000}" name="Análisis planificados"/>
    <tableColumn id="52" xr3:uid="{00000000-0010-0000-0600-000034000000}" name="Estado muestreo"/>
    <tableColumn id="53" xr3:uid="{00000000-0010-0000-0600-000035000000}" name="Peso recipiente (g)"/>
    <tableColumn id="54" xr3:uid="{00000000-0010-0000-0600-000036000000}" name="Extracto seco (g)"/>
    <tableColumn id="55" xr3:uid="{00000000-0010-0000-0600-000037000000}" name="GC-MS/MS MEF"/>
    <tableColumn id="56" xr3:uid="{00000000-0010-0000-0600-000038000000}" name="GC-MS/MS Cond"/>
    <tableColumn id="57" xr3:uid="{00000000-0010-0000-0600-000039000000}" name="Freezer"/>
    <tableColumn id="58" xr3:uid="{00000000-0010-0000-0600-00003A000000}" name="Caja"/>
    <tableColumn id="59" xr3:uid="{00000000-0010-0000-0600-00003B000000}" name="Posición"/>
    <tableColumn id="60" xr3:uid="{00000000-0010-0000-0600-00003C000000}" name="Aroma Vol GC (mL)"/>
    <tableColumn id="61" xr3:uid="{00000000-0010-0000-0600-00003D000000}" name="Aroma Dilución 1:X"/>
    <tableColumn id="62" xr3:uid="{00000000-0010-0000-0600-00003E000000}" name="Aroma GA muestra (% v/v)"/>
    <tableColumn id="63" xr3:uid="{00000000-0010-0000-0600-00003F000000}" name="Aroma EtOH objetivo (%)"/>
    <tableColumn id="64" xr3:uid="{00000000-0010-0000-0600-000040000000}" name="Aroma Alcohol HPLC 100% (uL)"/>
    <tableColumn id="65" xr3:uid="{00000000-0010-0000-0600-000041000000}" name="Aroma Vol muestra (µL)"/>
    <tableColumn id="66" xr3:uid="{00000000-0010-0000-0600-000042000000}" name="Temporada"/>
    <tableColumn id="67" xr3:uid="{00000000-0010-0000-0600-000043000000}" name="Proyecto"/>
    <tableColumn id="68" xr3:uid="{00000000-0010-0000-0600-000044000000}" name="Escala"/>
    <tableColumn id="69" xr3:uid="{00000000-0010-0000-0600-000045000000}" name="Lote"/>
    <tableColumn id="70" xr3:uid="{00000000-0010-0000-0600-000046000000}" name="Reactor/Estanque"/>
    <tableColumn id="71" xr3:uid="{00000000-0010-0000-0600-000047000000}" name="Condición"/>
    <tableColumn id="72" xr3:uid="{00000000-0010-0000-0600-000048000000}" name="Réplica"/>
    <tableColumn id="73" xr3:uid="{00000000-0010-0000-0600-000049000000}" name="Variedad"/>
    <tableColumn id="74" xr3:uid="{00000000-0010-0000-0600-00004A000000}" name="Levadura"/>
    <tableColumn id="75" xr3:uid="{00000000-0010-0000-0600-00004B000000}" name="Volumen inicial (L)"/>
    <tableColumn id="76" xr3:uid="{00000000-0010-0000-0600-00004C000000}" name="Objetivo específico"/>
    <tableColumn id="77" xr3:uid="{00000000-0010-0000-0600-00004D000000}" name="Observaciones ensayo"/>
    <tableColumn id="78" xr3:uid="{00000000-0010-0000-0600-00004E000000}" name="Codigo_fuente"/>
    <tableColumn id="79" xr3:uid="{00000000-0010-0000-0600-00004F000000}" name="Cubada"/>
    <tableColumn id="80" xr3:uid="{00000000-0010-0000-0600-000050000000}" name="Temperatura Medida"/>
    <tableColumn id="81" xr3:uid="{00000000-0010-0000-0600-000051000000}" name="Temperatura_operacional_columna_Temperatura"/>
    <tableColumn id="82" xr3:uid="{00000000-0010-0000-0600-000052000000}" name="Adicion"/>
    <tableColumn id="83" xr3:uid="{00000000-0010-0000-0600-000053000000}" name="GLU-FRU-320"/>
    <tableColumn id="84" xr3:uid="{00000000-0010-0000-0600-000054000000}" name="GLUCOSE-320"/>
    <tableColumn id="85" xr3:uid="{00000000-0010-0000-0600-000055000000}" name="FRUCTOSE_inferida"/>
    <tableColumn id="86" xr3:uid="{00000000-0010-0000-0600-000056000000}" name="C_total"/>
    <tableColumn id="87" xr3:uid="{00000000-0010-0000-0600-000057000000}" name="C_viable"/>
    <tableColumn id="88" xr3:uid="{00000000-0010-0000-0600-000058000000}" name="Budding_Index"/>
    <tableColumn id="89" xr3:uid="{00000000-0010-0000-0600-000059000000}" name="DateTime_serial"/>
    <tableColumn id="90" xr3:uid="{00000000-0010-0000-0600-00005A000000}" name="Archivo_origen"/>
    <tableColumn id="91" xr3:uid="{00000000-0010-0000-0600-00005B000000}" name="flag_calidad"/>
    <tableColumn id="92" xr3:uid="{00000000-0010-0000-0600-00005C000000}" name="observaciones_CC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MS013" displayName="T_MS013" ref="A1:CN10">
  <tableColumns count="92">
    <tableColumn id="1" xr3:uid="{00000000-0010-0000-0700-000001000000}" name="ID"/>
    <tableColumn id="2" xr3:uid="{00000000-0010-0000-0700-000002000000}" name="fecha_hora"/>
    <tableColumn id="3" xr3:uid="{00000000-0010-0000-0700-000003000000}" name="t"/>
    <tableColumn id="4" xr3:uid="{00000000-0010-0000-0700-000004000000}" name="temperatura"/>
    <tableColumn id="5" xr3:uid="{00000000-0010-0000-0700-000005000000}" name="densidad"/>
    <tableColumn id="6" xr3:uid="{00000000-0010-0000-0700-000006000000}" name="Viability"/>
    <tableColumn id="7" xr3:uid="{00000000-0010-0000-0700-000007000000}" name="Peso Seco"/>
    <tableColumn id="8" xr3:uid="{00000000-0010-0000-0700-000008000000}" name="GLUCOSE"/>
    <tableColumn id="9" xr3:uid="{00000000-0010-0000-0700-000009000000}" name="FRUCTOSE"/>
    <tableColumn id="10" xr3:uid="{00000000-0010-0000-0700-00000A000000}" name="PAN"/>
    <tableColumn id="11" xr3:uid="{00000000-0010-0000-0700-00000B000000}" name="AMMONIA"/>
    <tableColumn id="12" xr3:uid="{00000000-0010-0000-0700-00000C000000}" name="YAN"/>
    <tableColumn id="13" xr3:uid="{00000000-0010-0000-0700-00000D000000}" name="GLYCEROL"/>
    <tableColumn id="14" xr3:uid="{00000000-0010-0000-0700-00000E000000}" name="PYRUVIC ACID"/>
    <tableColumn id="15" xr3:uid="{00000000-0010-0000-0700-00000F000000}" name="PYRUVIC ACID2"/>
    <tableColumn id="16" xr3:uid="{00000000-0010-0000-0700-000010000000}" name="ACETALDEHIDO"/>
    <tableColumn id="17" xr3:uid="{00000000-0010-0000-0700-000011000000}" name="ETANOL"/>
    <tableColumn id="18" xr3:uid="{00000000-0010-0000-0700-000012000000}" name="pulso_nut"/>
    <tableColumn id="19" xr3:uid="{00000000-0010-0000-0700-000013000000}" name="bencil_alcohol_total"/>
    <tableColumn id="20" xr3:uid="{00000000-0010-0000-0700-000014000000}" name="benzaldehido_total"/>
    <tableColumn id="21" xr3:uid="{00000000-0010-0000-0700-000015000000}" name="decanoato_de_etilo_total"/>
    <tableColumn id="22" xr3:uid="{00000000-0010-0000-0700-000016000000}" name="hexil_acetate_total"/>
    <tableColumn id="23" xr3:uid="{00000000-0010-0000-0700-000017000000}" name="isoamil_acetate_total"/>
    <tableColumn id="24" xr3:uid="{00000000-0010-0000-0700-000018000000}" name="octanoate_de_etilo_total"/>
    <tableColumn id="25" xr3:uid="{00000000-0010-0000-0700-000019000000}" name="phenylethylacetate_total"/>
    <tableColumn id="26" xr3:uid="{00000000-0010-0000-0700-00001A000000}" name="Ethyl_Acetate_total"/>
    <tableColumn id="27" xr3:uid="{00000000-0010-0000-0700-00001B000000}" name="Código ensayo"/>
    <tableColumn id="28" xr3:uid="{00000000-0010-0000-0700-00001C000000}" name="fecha_hora_original"/>
    <tableColumn id="29" xr3:uid="{00000000-0010-0000-0700-00001D000000}" name="fecha_hora_nota"/>
    <tableColumn id="30" xr3:uid="{00000000-0010-0000-0700-00001E000000}" name="base_t_origen"/>
    <tableColumn id="31" xr3:uid="{00000000-0010-0000-0700-00001F000000}" name="temperatura_fuente"/>
    <tableColumn id="32" xr3:uid="{00000000-0010-0000-0700-000020000000}" name="temperatura_evento_activo"/>
    <tableColumn id="33" xr3:uid="{00000000-0010-0000-0700-000021000000}" name="protocolo_inferido"/>
    <tableColumn id="34" xr3:uid="{00000000-0010-0000-0700-000022000000}" name="pulso_nut_evento"/>
    <tableColumn id="35" xr3:uid="{00000000-0010-0000-0700-000023000000}" name="pulso_nut_t_h"/>
    <tableColumn id="36" xr3:uid="{00000000-0010-0000-0700-000024000000}" name="pulso_nut_tipo"/>
    <tableColumn id="37" xr3:uid="{00000000-0010-0000-0700-000025000000}" name="Brix"/>
    <tableColumn id="38" xr3:uid="{00000000-0010-0000-0700-000026000000}" name="pH"/>
    <tableColumn id="39" xr3:uid="{00000000-0010-0000-0700-000027000000}" name="DO"/>
    <tableColumn id="40" xr3:uid="{00000000-0010-0000-0700-000028000000}" name="Oculyze Concentration"/>
    <tableColumn id="41" xr3:uid="{00000000-0010-0000-0700-000029000000}" name="Oculyze Budding"/>
    <tableColumn id="42" xr3:uid="{00000000-0010-0000-0700-00002A000000}" name="Y15 Glucosa-Fructosa"/>
    <tableColumn id="43" xr3:uid="{00000000-0010-0000-0700-00002B000000}" name="Y15 Acetico"/>
    <tableColumn id="44" xr3:uid="{00000000-0010-0000-0700-00002C000000}" name="Cf Alcolyzer (% v/v)"/>
    <tableColumn id="45" xr3:uid="{00000000-0010-0000-0700-00002D000000}" name="Cf Alcolyzer Real (% v/v)"/>
    <tableColumn id="46" xr3:uid="{00000000-0010-0000-0700-00002E000000}" name="Tipo muestra"/>
    <tableColumn id="47" xr3:uid="{00000000-0010-0000-0700-00002F000000}" name="Hito"/>
    <tableColumn id="48" xr3:uid="{00000000-0010-0000-0700-000030000000}" name="Matriz"/>
    <tableColumn id="49" xr3:uid="{00000000-0010-0000-0700-000031000000}" name="Volumen total (mL)"/>
    <tableColumn id="50" xr3:uid="{00000000-0010-0000-0700-000032000000}" name="Contenedores"/>
    <tableColumn id="51" xr3:uid="{00000000-0010-0000-0700-000033000000}" name="Análisis planificados"/>
    <tableColumn id="52" xr3:uid="{00000000-0010-0000-0700-000034000000}" name="Estado muestreo"/>
    <tableColumn id="53" xr3:uid="{00000000-0010-0000-0700-000035000000}" name="Peso recipiente (g)"/>
    <tableColumn id="54" xr3:uid="{00000000-0010-0000-0700-000036000000}" name="Extracto seco (g)"/>
    <tableColumn id="55" xr3:uid="{00000000-0010-0000-0700-000037000000}" name="GC-MS/MS MEF"/>
    <tableColumn id="56" xr3:uid="{00000000-0010-0000-0700-000038000000}" name="GC-MS/MS Cond"/>
    <tableColumn id="57" xr3:uid="{00000000-0010-0000-0700-000039000000}" name="Freezer"/>
    <tableColumn id="58" xr3:uid="{00000000-0010-0000-0700-00003A000000}" name="Caja"/>
    <tableColumn id="59" xr3:uid="{00000000-0010-0000-0700-00003B000000}" name="Posición"/>
    <tableColumn id="60" xr3:uid="{00000000-0010-0000-0700-00003C000000}" name="Aroma Vol GC (mL)"/>
    <tableColumn id="61" xr3:uid="{00000000-0010-0000-0700-00003D000000}" name="Aroma Dilución 1:X"/>
    <tableColumn id="62" xr3:uid="{00000000-0010-0000-0700-00003E000000}" name="Aroma GA muestra (% v/v)"/>
    <tableColumn id="63" xr3:uid="{00000000-0010-0000-0700-00003F000000}" name="Aroma EtOH objetivo (%)"/>
    <tableColumn id="64" xr3:uid="{00000000-0010-0000-0700-000040000000}" name="Aroma Alcohol HPLC 100% (uL)"/>
    <tableColumn id="65" xr3:uid="{00000000-0010-0000-0700-000041000000}" name="Aroma Vol muestra (µL)"/>
    <tableColumn id="66" xr3:uid="{00000000-0010-0000-0700-000042000000}" name="Temporada"/>
    <tableColumn id="67" xr3:uid="{00000000-0010-0000-0700-000043000000}" name="Proyecto"/>
    <tableColumn id="68" xr3:uid="{00000000-0010-0000-0700-000044000000}" name="Escala"/>
    <tableColumn id="69" xr3:uid="{00000000-0010-0000-0700-000045000000}" name="Lote"/>
    <tableColumn id="70" xr3:uid="{00000000-0010-0000-0700-000046000000}" name="Reactor/Estanque"/>
    <tableColumn id="71" xr3:uid="{00000000-0010-0000-0700-000047000000}" name="Condición"/>
    <tableColumn id="72" xr3:uid="{00000000-0010-0000-0700-000048000000}" name="Réplica"/>
    <tableColumn id="73" xr3:uid="{00000000-0010-0000-0700-000049000000}" name="Variedad"/>
    <tableColumn id="74" xr3:uid="{00000000-0010-0000-0700-00004A000000}" name="Levadura"/>
    <tableColumn id="75" xr3:uid="{00000000-0010-0000-0700-00004B000000}" name="Volumen inicial (L)"/>
    <tableColumn id="76" xr3:uid="{00000000-0010-0000-0700-00004C000000}" name="Objetivo específico"/>
    <tableColumn id="77" xr3:uid="{00000000-0010-0000-0700-00004D000000}" name="Observaciones ensayo"/>
    <tableColumn id="78" xr3:uid="{00000000-0010-0000-0700-00004E000000}" name="Codigo_fuente"/>
    <tableColumn id="79" xr3:uid="{00000000-0010-0000-0700-00004F000000}" name="Cubada"/>
    <tableColumn id="80" xr3:uid="{00000000-0010-0000-0700-000050000000}" name="Temperatura Medida"/>
    <tableColumn id="81" xr3:uid="{00000000-0010-0000-0700-000051000000}" name="Temperatura_operacional_columna_Temperatura"/>
    <tableColumn id="82" xr3:uid="{00000000-0010-0000-0700-000052000000}" name="Adicion"/>
    <tableColumn id="83" xr3:uid="{00000000-0010-0000-0700-000053000000}" name="GLU-FRU-320"/>
    <tableColumn id="84" xr3:uid="{00000000-0010-0000-0700-000054000000}" name="GLUCOSE-320"/>
    <tableColumn id="85" xr3:uid="{00000000-0010-0000-0700-000055000000}" name="FRUCTOSE_inferida"/>
    <tableColumn id="86" xr3:uid="{00000000-0010-0000-0700-000056000000}" name="C_total"/>
    <tableColumn id="87" xr3:uid="{00000000-0010-0000-0700-000057000000}" name="C_viable"/>
    <tableColumn id="88" xr3:uid="{00000000-0010-0000-0700-000058000000}" name="Budding_Index"/>
    <tableColumn id="89" xr3:uid="{00000000-0010-0000-0700-000059000000}" name="DateTime_serial"/>
    <tableColumn id="90" xr3:uid="{00000000-0010-0000-0700-00005A000000}" name="Archivo_origen"/>
    <tableColumn id="91" xr3:uid="{00000000-0010-0000-0700-00005B000000}" name="flag_calidad"/>
    <tableColumn id="92" xr3:uid="{00000000-0010-0000-0700-00005C000000}" name="observaciones_CC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MS014" displayName="T_MS014" ref="A1:CN10">
  <tableColumns count="92">
    <tableColumn id="1" xr3:uid="{00000000-0010-0000-0800-000001000000}" name="ID"/>
    <tableColumn id="2" xr3:uid="{00000000-0010-0000-0800-000002000000}" name="fecha_hora"/>
    <tableColumn id="3" xr3:uid="{00000000-0010-0000-0800-000003000000}" name="t"/>
    <tableColumn id="4" xr3:uid="{00000000-0010-0000-0800-000004000000}" name="temperatura"/>
    <tableColumn id="5" xr3:uid="{00000000-0010-0000-0800-000005000000}" name="densidad"/>
    <tableColumn id="6" xr3:uid="{00000000-0010-0000-0800-000006000000}" name="Viability"/>
    <tableColumn id="7" xr3:uid="{00000000-0010-0000-0800-000007000000}" name="Peso Seco"/>
    <tableColumn id="8" xr3:uid="{00000000-0010-0000-0800-000008000000}" name="GLUCOSE"/>
    <tableColumn id="9" xr3:uid="{00000000-0010-0000-0800-000009000000}" name="FRUCTOSE"/>
    <tableColumn id="10" xr3:uid="{00000000-0010-0000-0800-00000A000000}" name="PAN"/>
    <tableColumn id="11" xr3:uid="{00000000-0010-0000-0800-00000B000000}" name="AMMONIA"/>
    <tableColumn id="12" xr3:uid="{00000000-0010-0000-0800-00000C000000}" name="YAN"/>
    <tableColumn id="13" xr3:uid="{00000000-0010-0000-0800-00000D000000}" name="GLYCEROL"/>
    <tableColumn id="14" xr3:uid="{00000000-0010-0000-0800-00000E000000}" name="PYRUVIC ACID"/>
    <tableColumn id="15" xr3:uid="{00000000-0010-0000-0800-00000F000000}" name="PYRUVIC ACID2"/>
    <tableColumn id="16" xr3:uid="{00000000-0010-0000-0800-000010000000}" name="ACETALDEHIDO"/>
    <tableColumn id="17" xr3:uid="{00000000-0010-0000-0800-000011000000}" name="ETANOL"/>
    <tableColumn id="18" xr3:uid="{00000000-0010-0000-0800-000012000000}" name="pulso_nut"/>
    <tableColumn id="19" xr3:uid="{00000000-0010-0000-0800-000013000000}" name="bencil_alcohol_total"/>
    <tableColumn id="20" xr3:uid="{00000000-0010-0000-0800-000014000000}" name="benzaldehido_total"/>
    <tableColumn id="21" xr3:uid="{00000000-0010-0000-0800-000015000000}" name="decanoato_de_etilo_total"/>
    <tableColumn id="22" xr3:uid="{00000000-0010-0000-0800-000016000000}" name="hexil_acetate_total"/>
    <tableColumn id="23" xr3:uid="{00000000-0010-0000-0800-000017000000}" name="isoamil_acetate_total"/>
    <tableColumn id="24" xr3:uid="{00000000-0010-0000-0800-000018000000}" name="octanoate_de_etilo_total"/>
    <tableColumn id="25" xr3:uid="{00000000-0010-0000-0800-000019000000}" name="phenylethylacetate_total"/>
    <tableColumn id="26" xr3:uid="{00000000-0010-0000-0800-00001A000000}" name="Ethyl_Acetate_total"/>
    <tableColumn id="27" xr3:uid="{00000000-0010-0000-0800-00001B000000}" name="Código ensayo"/>
    <tableColumn id="28" xr3:uid="{00000000-0010-0000-0800-00001C000000}" name="fecha_hora_original"/>
    <tableColumn id="29" xr3:uid="{00000000-0010-0000-0800-00001D000000}" name="fecha_hora_nota"/>
    <tableColumn id="30" xr3:uid="{00000000-0010-0000-0800-00001E000000}" name="base_t_origen"/>
    <tableColumn id="31" xr3:uid="{00000000-0010-0000-0800-00001F000000}" name="temperatura_fuente"/>
    <tableColumn id="32" xr3:uid="{00000000-0010-0000-0800-000020000000}" name="temperatura_evento_activo"/>
    <tableColumn id="33" xr3:uid="{00000000-0010-0000-0800-000021000000}" name="protocolo_inferido"/>
    <tableColumn id="34" xr3:uid="{00000000-0010-0000-0800-000022000000}" name="pulso_nut_evento"/>
    <tableColumn id="35" xr3:uid="{00000000-0010-0000-0800-000023000000}" name="pulso_nut_t_h"/>
    <tableColumn id="36" xr3:uid="{00000000-0010-0000-0800-000024000000}" name="pulso_nut_tipo"/>
    <tableColumn id="37" xr3:uid="{00000000-0010-0000-0800-000025000000}" name="Brix"/>
    <tableColumn id="38" xr3:uid="{00000000-0010-0000-0800-000026000000}" name="pH"/>
    <tableColumn id="39" xr3:uid="{00000000-0010-0000-0800-000027000000}" name="DO"/>
    <tableColumn id="40" xr3:uid="{00000000-0010-0000-0800-000028000000}" name="Oculyze Concentration"/>
    <tableColumn id="41" xr3:uid="{00000000-0010-0000-0800-000029000000}" name="Oculyze Budding"/>
    <tableColumn id="42" xr3:uid="{00000000-0010-0000-0800-00002A000000}" name="Y15 Glucosa-Fructosa"/>
    <tableColumn id="43" xr3:uid="{00000000-0010-0000-0800-00002B000000}" name="Y15 Acetico"/>
    <tableColumn id="44" xr3:uid="{00000000-0010-0000-0800-00002C000000}" name="Cf Alcolyzer (% v/v)"/>
    <tableColumn id="45" xr3:uid="{00000000-0010-0000-0800-00002D000000}" name="Cf Alcolyzer Real (% v/v)"/>
    <tableColumn id="46" xr3:uid="{00000000-0010-0000-0800-00002E000000}" name="Tipo muestra"/>
    <tableColumn id="47" xr3:uid="{00000000-0010-0000-0800-00002F000000}" name="Hito"/>
    <tableColumn id="48" xr3:uid="{00000000-0010-0000-0800-000030000000}" name="Matriz"/>
    <tableColumn id="49" xr3:uid="{00000000-0010-0000-0800-000031000000}" name="Volumen total (mL)"/>
    <tableColumn id="50" xr3:uid="{00000000-0010-0000-0800-000032000000}" name="Contenedores"/>
    <tableColumn id="51" xr3:uid="{00000000-0010-0000-0800-000033000000}" name="Análisis planificados"/>
    <tableColumn id="52" xr3:uid="{00000000-0010-0000-0800-000034000000}" name="Estado muestreo"/>
    <tableColumn id="53" xr3:uid="{00000000-0010-0000-0800-000035000000}" name="Peso recipiente (g)"/>
    <tableColumn id="54" xr3:uid="{00000000-0010-0000-0800-000036000000}" name="Extracto seco (g)"/>
    <tableColumn id="55" xr3:uid="{00000000-0010-0000-0800-000037000000}" name="GC-MS/MS MEF"/>
    <tableColumn id="56" xr3:uid="{00000000-0010-0000-0800-000038000000}" name="GC-MS/MS Cond"/>
    <tableColumn id="57" xr3:uid="{00000000-0010-0000-0800-000039000000}" name="Freezer"/>
    <tableColumn id="58" xr3:uid="{00000000-0010-0000-0800-00003A000000}" name="Caja"/>
    <tableColumn id="59" xr3:uid="{00000000-0010-0000-0800-00003B000000}" name="Posición"/>
    <tableColumn id="60" xr3:uid="{00000000-0010-0000-0800-00003C000000}" name="Aroma Vol GC (mL)"/>
    <tableColumn id="61" xr3:uid="{00000000-0010-0000-0800-00003D000000}" name="Aroma Dilución 1:X"/>
    <tableColumn id="62" xr3:uid="{00000000-0010-0000-0800-00003E000000}" name="Aroma GA muestra (% v/v)"/>
    <tableColumn id="63" xr3:uid="{00000000-0010-0000-0800-00003F000000}" name="Aroma EtOH objetivo (%)"/>
    <tableColumn id="64" xr3:uid="{00000000-0010-0000-0800-000040000000}" name="Aroma Alcohol HPLC 100% (uL)"/>
    <tableColumn id="65" xr3:uid="{00000000-0010-0000-0800-000041000000}" name="Aroma Vol muestra (µL)"/>
    <tableColumn id="66" xr3:uid="{00000000-0010-0000-0800-000042000000}" name="Temporada"/>
    <tableColumn id="67" xr3:uid="{00000000-0010-0000-0800-000043000000}" name="Proyecto"/>
    <tableColumn id="68" xr3:uid="{00000000-0010-0000-0800-000044000000}" name="Escala"/>
    <tableColumn id="69" xr3:uid="{00000000-0010-0000-0800-000045000000}" name="Lote"/>
    <tableColumn id="70" xr3:uid="{00000000-0010-0000-0800-000046000000}" name="Reactor/Estanque"/>
    <tableColumn id="71" xr3:uid="{00000000-0010-0000-0800-000047000000}" name="Condición"/>
    <tableColumn id="72" xr3:uid="{00000000-0010-0000-0800-000048000000}" name="Réplica"/>
    <tableColumn id="73" xr3:uid="{00000000-0010-0000-0800-000049000000}" name="Variedad"/>
    <tableColumn id="74" xr3:uid="{00000000-0010-0000-0800-00004A000000}" name="Levadura"/>
    <tableColumn id="75" xr3:uid="{00000000-0010-0000-0800-00004B000000}" name="Volumen inicial (L)"/>
    <tableColumn id="76" xr3:uid="{00000000-0010-0000-0800-00004C000000}" name="Objetivo específico"/>
    <tableColumn id="77" xr3:uid="{00000000-0010-0000-0800-00004D000000}" name="Observaciones ensayo"/>
    <tableColumn id="78" xr3:uid="{00000000-0010-0000-0800-00004E000000}" name="Codigo_fuente"/>
    <tableColumn id="79" xr3:uid="{00000000-0010-0000-0800-00004F000000}" name="Cubada"/>
    <tableColumn id="80" xr3:uid="{00000000-0010-0000-0800-000050000000}" name="Temperatura Medida"/>
    <tableColumn id="81" xr3:uid="{00000000-0010-0000-0800-000051000000}" name="Temperatura_operacional_columna_Temperatura"/>
    <tableColumn id="82" xr3:uid="{00000000-0010-0000-0800-000052000000}" name="Adicion"/>
    <tableColumn id="83" xr3:uid="{00000000-0010-0000-0800-000053000000}" name="GLU-FRU-320"/>
    <tableColumn id="84" xr3:uid="{00000000-0010-0000-0800-000054000000}" name="GLUCOSE-320"/>
    <tableColumn id="85" xr3:uid="{00000000-0010-0000-0800-000055000000}" name="FRUCTOSE_inferida"/>
    <tableColumn id="86" xr3:uid="{00000000-0010-0000-0800-000056000000}" name="C_total"/>
    <tableColumn id="87" xr3:uid="{00000000-0010-0000-0800-000057000000}" name="C_viable"/>
    <tableColumn id="88" xr3:uid="{00000000-0010-0000-0800-000058000000}" name="Budding_Index"/>
    <tableColumn id="89" xr3:uid="{00000000-0010-0000-0800-000059000000}" name="DateTime_serial"/>
    <tableColumn id="90" xr3:uid="{00000000-0010-0000-0800-00005A000000}" name="Archivo_origen"/>
    <tableColumn id="91" xr3:uid="{00000000-0010-0000-0800-00005B000000}" name="flag_calidad"/>
    <tableColumn id="92" xr3:uid="{00000000-0010-0000-0800-00005C000000}" name="observaciones_CC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MS015" displayName="T_MS015" ref="A1:CN10">
  <tableColumns count="92">
    <tableColumn id="1" xr3:uid="{00000000-0010-0000-0900-000001000000}" name="ID"/>
    <tableColumn id="2" xr3:uid="{00000000-0010-0000-0900-000002000000}" name="fecha_hora"/>
    <tableColumn id="3" xr3:uid="{00000000-0010-0000-0900-000003000000}" name="t"/>
    <tableColumn id="4" xr3:uid="{00000000-0010-0000-0900-000004000000}" name="temperatura"/>
    <tableColumn id="5" xr3:uid="{00000000-0010-0000-0900-000005000000}" name="densidad"/>
    <tableColumn id="6" xr3:uid="{00000000-0010-0000-0900-000006000000}" name="Viability"/>
    <tableColumn id="7" xr3:uid="{00000000-0010-0000-0900-000007000000}" name="Peso Seco"/>
    <tableColumn id="8" xr3:uid="{00000000-0010-0000-0900-000008000000}" name="GLUCOSE"/>
    <tableColumn id="9" xr3:uid="{00000000-0010-0000-0900-000009000000}" name="FRUCTOSE"/>
    <tableColumn id="10" xr3:uid="{00000000-0010-0000-0900-00000A000000}" name="PAN"/>
    <tableColumn id="11" xr3:uid="{00000000-0010-0000-0900-00000B000000}" name="AMMONIA"/>
    <tableColumn id="12" xr3:uid="{00000000-0010-0000-0900-00000C000000}" name="YAN"/>
    <tableColumn id="13" xr3:uid="{00000000-0010-0000-0900-00000D000000}" name="GLYCEROL"/>
    <tableColumn id="14" xr3:uid="{00000000-0010-0000-0900-00000E000000}" name="PYRUVIC ACID"/>
    <tableColumn id="15" xr3:uid="{00000000-0010-0000-0900-00000F000000}" name="PYRUVIC ACID2"/>
    <tableColumn id="16" xr3:uid="{00000000-0010-0000-0900-000010000000}" name="ACETALDEHIDO"/>
    <tableColumn id="17" xr3:uid="{00000000-0010-0000-0900-000011000000}" name="ETANOL"/>
    <tableColumn id="18" xr3:uid="{00000000-0010-0000-0900-000012000000}" name="pulso_nut"/>
    <tableColumn id="19" xr3:uid="{00000000-0010-0000-0900-000013000000}" name="bencil_alcohol_total"/>
    <tableColumn id="20" xr3:uid="{00000000-0010-0000-0900-000014000000}" name="benzaldehido_total"/>
    <tableColumn id="21" xr3:uid="{00000000-0010-0000-0900-000015000000}" name="decanoato_de_etilo_total"/>
    <tableColumn id="22" xr3:uid="{00000000-0010-0000-0900-000016000000}" name="hexil_acetate_total"/>
    <tableColumn id="23" xr3:uid="{00000000-0010-0000-0900-000017000000}" name="isoamil_acetate_total"/>
    <tableColumn id="24" xr3:uid="{00000000-0010-0000-0900-000018000000}" name="octanoate_de_etilo_total"/>
    <tableColumn id="25" xr3:uid="{00000000-0010-0000-0900-000019000000}" name="phenylethylacetate_total"/>
    <tableColumn id="26" xr3:uid="{00000000-0010-0000-0900-00001A000000}" name="Ethyl_Acetate_total"/>
    <tableColumn id="27" xr3:uid="{00000000-0010-0000-0900-00001B000000}" name="Código ensayo"/>
    <tableColumn id="28" xr3:uid="{00000000-0010-0000-0900-00001C000000}" name="fecha_hora_original"/>
    <tableColumn id="29" xr3:uid="{00000000-0010-0000-0900-00001D000000}" name="fecha_hora_nota"/>
    <tableColumn id="30" xr3:uid="{00000000-0010-0000-0900-00001E000000}" name="base_t_origen"/>
    <tableColumn id="31" xr3:uid="{00000000-0010-0000-0900-00001F000000}" name="temperatura_fuente"/>
    <tableColumn id="32" xr3:uid="{00000000-0010-0000-0900-000020000000}" name="temperatura_evento_activo"/>
    <tableColumn id="33" xr3:uid="{00000000-0010-0000-0900-000021000000}" name="protocolo_inferido"/>
    <tableColumn id="34" xr3:uid="{00000000-0010-0000-0900-000022000000}" name="pulso_nut_evento"/>
    <tableColumn id="35" xr3:uid="{00000000-0010-0000-0900-000023000000}" name="pulso_nut_t_h"/>
    <tableColumn id="36" xr3:uid="{00000000-0010-0000-0900-000024000000}" name="pulso_nut_tipo"/>
    <tableColumn id="37" xr3:uid="{00000000-0010-0000-0900-000025000000}" name="Brix"/>
    <tableColumn id="38" xr3:uid="{00000000-0010-0000-0900-000026000000}" name="pH"/>
    <tableColumn id="39" xr3:uid="{00000000-0010-0000-0900-000027000000}" name="DO"/>
    <tableColumn id="40" xr3:uid="{00000000-0010-0000-0900-000028000000}" name="Oculyze Concentration"/>
    <tableColumn id="41" xr3:uid="{00000000-0010-0000-0900-000029000000}" name="Oculyze Budding"/>
    <tableColumn id="42" xr3:uid="{00000000-0010-0000-0900-00002A000000}" name="Y15 Glucosa-Fructosa"/>
    <tableColumn id="43" xr3:uid="{00000000-0010-0000-0900-00002B000000}" name="Y15 Acetico"/>
    <tableColumn id="44" xr3:uid="{00000000-0010-0000-0900-00002C000000}" name="Cf Alcolyzer (% v/v)"/>
    <tableColumn id="45" xr3:uid="{00000000-0010-0000-0900-00002D000000}" name="Cf Alcolyzer Real (% v/v)"/>
    <tableColumn id="46" xr3:uid="{00000000-0010-0000-0900-00002E000000}" name="Tipo muestra"/>
    <tableColumn id="47" xr3:uid="{00000000-0010-0000-0900-00002F000000}" name="Hito"/>
    <tableColumn id="48" xr3:uid="{00000000-0010-0000-0900-000030000000}" name="Matriz"/>
    <tableColumn id="49" xr3:uid="{00000000-0010-0000-0900-000031000000}" name="Volumen total (mL)"/>
    <tableColumn id="50" xr3:uid="{00000000-0010-0000-0900-000032000000}" name="Contenedores"/>
    <tableColumn id="51" xr3:uid="{00000000-0010-0000-0900-000033000000}" name="Análisis planificados"/>
    <tableColumn id="52" xr3:uid="{00000000-0010-0000-0900-000034000000}" name="Estado muestreo"/>
    <tableColumn id="53" xr3:uid="{00000000-0010-0000-0900-000035000000}" name="Peso recipiente (g)"/>
    <tableColumn id="54" xr3:uid="{00000000-0010-0000-0900-000036000000}" name="Extracto seco (g)"/>
    <tableColumn id="55" xr3:uid="{00000000-0010-0000-0900-000037000000}" name="GC-MS/MS MEF"/>
    <tableColumn id="56" xr3:uid="{00000000-0010-0000-0900-000038000000}" name="GC-MS/MS Cond"/>
    <tableColumn id="57" xr3:uid="{00000000-0010-0000-0900-000039000000}" name="Freezer"/>
    <tableColumn id="58" xr3:uid="{00000000-0010-0000-0900-00003A000000}" name="Caja"/>
    <tableColumn id="59" xr3:uid="{00000000-0010-0000-0900-00003B000000}" name="Posición"/>
    <tableColumn id="60" xr3:uid="{00000000-0010-0000-0900-00003C000000}" name="Aroma Vol GC (mL)"/>
    <tableColumn id="61" xr3:uid="{00000000-0010-0000-0900-00003D000000}" name="Aroma Dilución 1:X"/>
    <tableColumn id="62" xr3:uid="{00000000-0010-0000-0900-00003E000000}" name="Aroma GA muestra (% v/v)"/>
    <tableColumn id="63" xr3:uid="{00000000-0010-0000-0900-00003F000000}" name="Aroma EtOH objetivo (%)"/>
    <tableColumn id="64" xr3:uid="{00000000-0010-0000-0900-000040000000}" name="Aroma Alcohol HPLC 100% (uL)"/>
    <tableColumn id="65" xr3:uid="{00000000-0010-0000-0900-000041000000}" name="Aroma Vol muestra (µL)"/>
    <tableColumn id="66" xr3:uid="{00000000-0010-0000-0900-000042000000}" name="Temporada"/>
    <tableColumn id="67" xr3:uid="{00000000-0010-0000-0900-000043000000}" name="Proyecto"/>
    <tableColumn id="68" xr3:uid="{00000000-0010-0000-0900-000044000000}" name="Escala"/>
    <tableColumn id="69" xr3:uid="{00000000-0010-0000-0900-000045000000}" name="Lote"/>
    <tableColumn id="70" xr3:uid="{00000000-0010-0000-0900-000046000000}" name="Reactor/Estanque"/>
    <tableColumn id="71" xr3:uid="{00000000-0010-0000-0900-000047000000}" name="Condición"/>
    <tableColumn id="72" xr3:uid="{00000000-0010-0000-0900-000048000000}" name="Réplica"/>
    <tableColumn id="73" xr3:uid="{00000000-0010-0000-0900-000049000000}" name="Variedad"/>
    <tableColumn id="74" xr3:uid="{00000000-0010-0000-0900-00004A000000}" name="Levadura"/>
    <tableColumn id="75" xr3:uid="{00000000-0010-0000-0900-00004B000000}" name="Volumen inicial (L)"/>
    <tableColumn id="76" xr3:uid="{00000000-0010-0000-0900-00004C000000}" name="Objetivo específico"/>
    <tableColumn id="77" xr3:uid="{00000000-0010-0000-0900-00004D000000}" name="Observaciones ensayo"/>
    <tableColumn id="78" xr3:uid="{00000000-0010-0000-0900-00004E000000}" name="Codigo_fuente"/>
    <tableColumn id="79" xr3:uid="{00000000-0010-0000-0900-00004F000000}" name="Cubada"/>
    <tableColumn id="80" xr3:uid="{00000000-0010-0000-0900-000050000000}" name="Temperatura Medida"/>
    <tableColumn id="81" xr3:uid="{00000000-0010-0000-0900-000051000000}" name="Temperatura_operacional_columna_Temperatura"/>
    <tableColumn id="82" xr3:uid="{00000000-0010-0000-0900-000052000000}" name="Adicion"/>
    <tableColumn id="83" xr3:uid="{00000000-0010-0000-0900-000053000000}" name="GLU-FRU-320"/>
    <tableColumn id="84" xr3:uid="{00000000-0010-0000-0900-000054000000}" name="GLUCOSE-320"/>
    <tableColumn id="85" xr3:uid="{00000000-0010-0000-0900-000055000000}" name="FRUCTOSE_inferida"/>
    <tableColumn id="86" xr3:uid="{00000000-0010-0000-0900-000056000000}" name="C_total"/>
    <tableColumn id="87" xr3:uid="{00000000-0010-0000-0900-000057000000}" name="C_viable"/>
    <tableColumn id="88" xr3:uid="{00000000-0010-0000-0900-000058000000}" name="Budding_Index"/>
    <tableColumn id="89" xr3:uid="{00000000-0010-0000-0900-000059000000}" name="DateTime_serial"/>
    <tableColumn id="90" xr3:uid="{00000000-0010-0000-0900-00005A000000}" name="Archivo_origen"/>
    <tableColumn id="91" xr3:uid="{00000000-0010-0000-0900-00005B000000}" name="flag_calidad"/>
    <tableColumn id="92" xr3:uid="{00000000-0010-0000-0900-00005C000000}" name="observaciones_CC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MS016" displayName="T_MS016" ref="A1:CN10">
  <tableColumns count="92">
    <tableColumn id="1" xr3:uid="{00000000-0010-0000-0A00-000001000000}" name="ID"/>
    <tableColumn id="2" xr3:uid="{00000000-0010-0000-0A00-000002000000}" name="fecha_hora"/>
    <tableColumn id="3" xr3:uid="{00000000-0010-0000-0A00-000003000000}" name="t"/>
    <tableColumn id="4" xr3:uid="{00000000-0010-0000-0A00-000004000000}" name="temperatura"/>
    <tableColumn id="5" xr3:uid="{00000000-0010-0000-0A00-000005000000}" name="densidad"/>
    <tableColumn id="6" xr3:uid="{00000000-0010-0000-0A00-000006000000}" name="Viability"/>
    <tableColumn id="7" xr3:uid="{00000000-0010-0000-0A00-000007000000}" name="Peso Seco"/>
    <tableColumn id="8" xr3:uid="{00000000-0010-0000-0A00-000008000000}" name="GLUCOSE"/>
    <tableColumn id="9" xr3:uid="{00000000-0010-0000-0A00-000009000000}" name="FRUCTOSE"/>
    <tableColumn id="10" xr3:uid="{00000000-0010-0000-0A00-00000A000000}" name="PAN"/>
    <tableColumn id="11" xr3:uid="{00000000-0010-0000-0A00-00000B000000}" name="AMMONIA"/>
    <tableColumn id="12" xr3:uid="{00000000-0010-0000-0A00-00000C000000}" name="YAN"/>
    <tableColumn id="13" xr3:uid="{00000000-0010-0000-0A00-00000D000000}" name="GLYCEROL"/>
    <tableColumn id="14" xr3:uid="{00000000-0010-0000-0A00-00000E000000}" name="PYRUVIC ACID"/>
    <tableColumn id="15" xr3:uid="{00000000-0010-0000-0A00-00000F000000}" name="PYRUVIC ACID2"/>
    <tableColumn id="16" xr3:uid="{00000000-0010-0000-0A00-000010000000}" name="ACETALDEHIDO"/>
    <tableColumn id="17" xr3:uid="{00000000-0010-0000-0A00-000011000000}" name="ETANOL"/>
    <tableColumn id="18" xr3:uid="{00000000-0010-0000-0A00-000012000000}" name="pulso_nut"/>
    <tableColumn id="19" xr3:uid="{00000000-0010-0000-0A00-000013000000}" name="bencil_alcohol_total"/>
    <tableColumn id="20" xr3:uid="{00000000-0010-0000-0A00-000014000000}" name="benzaldehido_total"/>
    <tableColumn id="21" xr3:uid="{00000000-0010-0000-0A00-000015000000}" name="decanoato_de_etilo_total"/>
    <tableColumn id="22" xr3:uid="{00000000-0010-0000-0A00-000016000000}" name="hexil_acetate_total"/>
    <tableColumn id="23" xr3:uid="{00000000-0010-0000-0A00-000017000000}" name="isoamil_acetate_total"/>
    <tableColumn id="24" xr3:uid="{00000000-0010-0000-0A00-000018000000}" name="octanoate_de_etilo_total"/>
    <tableColumn id="25" xr3:uid="{00000000-0010-0000-0A00-000019000000}" name="phenylethylacetate_total"/>
    <tableColumn id="26" xr3:uid="{00000000-0010-0000-0A00-00001A000000}" name="Ethyl_Acetate_total"/>
    <tableColumn id="27" xr3:uid="{00000000-0010-0000-0A00-00001B000000}" name="Código ensayo"/>
    <tableColumn id="28" xr3:uid="{00000000-0010-0000-0A00-00001C000000}" name="fecha_hora_original"/>
    <tableColumn id="29" xr3:uid="{00000000-0010-0000-0A00-00001D000000}" name="fecha_hora_nota"/>
    <tableColumn id="30" xr3:uid="{00000000-0010-0000-0A00-00001E000000}" name="base_t_origen"/>
    <tableColumn id="31" xr3:uid="{00000000-0010-0000-0A00-00001F000000}" name="temperatura_fuente"/>
    <tableColumn id="32" xr3:uid="{00000000-0010-0000-0A00-000020000000}" name="temperatura_evento_activo"/>
    <tableColumn id="33" xr3:uid="{00000000-0010-0000-0A00-000021000000}" name="protocolo_inferido"/>
    <tableColumn id="34" xr3:uid="{00000000-0010-0000-0A00-000022000000}" name="pulso_nut_evento"/>
    <tableColumn id="35" xr3:uid="{00000000-0010-0000-0A00-000023000000}" name="pulso_nut_t_h"/>
    <tableColumn id="36" xr3:uid="{00000000-0010-0000-0A00-000024000000}" name="pulso_nut_tipo"/>
    <tableColumn id="37" xr3:uid="{00000000-0010-0000-0A00-000025000000}" name="Brix"/>
    <tableColumn id="38" xr3:uid="{00000000-0010-0000-0A00-000026000000}" name="pH"/>
    <tableColumn id="39" xr3:uid="{00000000-0010-0000-0A00-000027000000}" name="DO"/>
    <tableColumn id="40" xr3:uid="{00000000-0010-0000-0A00-000028000000}" name="Oculyze Concentration"/>
    <tableColumn id="41" xr3:uid="{00000000-0010-0000-0A00-000029000000}" name="Oculyze Budding"/>
    <tableColumn id="42" xr3:uid="{00000000-0010-0000-0A00-00002A000000}" name="Y15 Glucosa-Fructosa"/>
    <tableColumn id="43" xr3:uid="{00000000-0010-0000-0A00-00002B000000}" name="Y15 Acetico"/>
    <tableColumn id="44" xr3:uid="{00000000-0010-0000-0A00-00002C000000}" name="Cf Alcolyzer (% v/v)"/>
    <tableColumn id="45" xr3:uid="{00000000-0010-0000-0A00-00002D000000}" name="Cf Alcolyzer Real (% v/v)"/>
    <tableColumn id="46" xr3:uid="{00000000-0010-0000-0A00-00002E000000}" name="Tipo muestra"/>
    <tableColumn id="47" xr3:uid="{00000000-0010-0000-0A00-00002F000000}" name="Hito"/>
    <tableColumn id="48" xr3:uid="{00000000-0010-0000-0A00-000030000000}" name="Matriz"/>
    <tableColumn id="49" xr3:uid="{00000000-0010-0000-0A00-000031000000}" name="Volumen total (mL)"/>
    <tableColumn id="50" xr3:uid="{00000000-0010-0000-0A00-000032000000}" name="Contenedores"/>
    <tableColumn id="51" xr3:uid="{00000000-0010-0000-0A00-000033000000}" name="Análisis planificados"/>
    <tableColumn id="52" xr3:uid="{00000000-0010-0000-0A00-000034000000}" name="Estado muestreo"/>
    <tableColumn id="53" xr3:uid="{00000000-0010-0000-0A00-000035000000}" name="Peso recipiente (g)"/>
    <tableColumn id="54" xr3:uid="{00000000-0010-0000-0A00-000036000000}" name="Extracto seco (g)"/>
    <tableColumn id="55" xr3:uid="{00000000-0010-0000-0A00-000037000000}" name="GC-MS/MS MEF"/>
    <tableColumn id="56" xr3:uid="{00000000-0010-0000-0A00-000038000000}" name="GC-MS/MS Cond"/>
    <tableColumn id="57" xr3:uid="{00000000-0010-0000-0A00-000039000000}" name="Freezer"/>
    <tableColumn id="58" xr3:uid="{00000000-0010-0000-0A00-00003A000000}" name="Caja"/>
    <tableColumn id="59" xr3:uid="{00000000-0010-0000-0A00-00003B000000}" name="Posición"/>
    <tableColumn id="60" xr3:uid="{00000000-0010-0000-0A00-00003C000000}" name="Aroma Vol GC (mL)"/>
    <tableColumn id="61" xr3:uid="{00000000-0010-0000-0A00-00003D000000}" name="Aroma Dilución 1:X"/>
    <tableColumn id="62" xr3:uid="{00000000-0010-0000-0A00-00003E000000}" name="Aroma GA muestra (% v/v)"/>
    <tableColumn id="63" xr3:uid="{00000000-0010-0000-0A00-00003F000000}" name="Aroma EtOH objetivo (%)"/>
    <tableColumn id="64" xr3:uid="{00000000-0010-0000-0A00-000040000000}" name="Aroma Alcohol HPLC 100% (uL)"/>
    <tableColumn id="65" xr3:uid="{00000000-0010-0000-0A00-000041000000}" name="Aroma Vol muestra (µL)"/>
    <tableColumn id="66" xr3:uid="{00000000-0010-0000-0A00-000042000000}" name="Temporada"/>
    <tableColumn id="67" xr3:uid="{00000000-0010-0000-0A00-000043000000}" name="Proyecto"/>
    <tableColumn id="68" xr3:uid="{00000000-0010-0000-0A00-000044000000}" name="Escala"/>
    <tableColumn id="69" xr3:uid="{00000000-0010-0000-0A00-000045000000}" name="Lote"/>
    <tableColumn id="70" xr3:uid="{00000000-0010-0000-0A00-000046000000}" name="Reactor/Estanque"/>
    <tableColumn id="71" xr3:uid="{00000000-0010-0000-0A00-000047000000}" name="Condición"/>
    <tableColumn id="72" xr3:uid="{00000000-0010-0000-0A00-000048000000}" name="Réplica"/>
    <tableColumn id="73" xr3:uid="{00000000-0010-0000-0A00-000049000000}" name="Variedad"/>
    <tableColumn id="74" xr3:uid="{00000000-0010-0000-0A00-00004A000000}" name="Levadura"/>
    <tableColumn id="75" xr3:uid="{00000000-0010-0000-0A00-00004B000000}" name="Volumen inicial (L)"/>
    <tableColumn id="76" xr3:uid="{00000000-0010-0000-0A00-00004C000000}" name="Objetivo específico"/>
    <tableColumn id="77" xr3:uid="{00000000-0010-0000-0A00-00004D000000}" name="Observaciones ensayo"/>
    <tableColumn id="78" xr3:uid="{00000000-0010-0000-0A00-00004E000000}" name="Codigo_fuente"/>
    <tableColumn id="79" xr3:uid="{00000000-0010-0000-0A00-00004F000000}" name="Cubada"/>
    <tableColumn id="80" xr3:uid="{00000000-0010-0000-0A00-000050000000}" name="Temperatura Medida"/>
    <tableColumn id="81" xr3:uid="{00000000-0010-0000-0A00-000051000000}" name="Temperatura_operacional_columna_Temperatura"/>
    <tableColumn id="82" xr3:uid="{00000000-0010-0000-0A00-000052000000}" name="Adicion"/>
    <tableColumn id="83" xr3:uid="{00000000-0010-0000-0A00-000053000000}" name="GLU-FRU-320"/>
    <tableColumn id="84" xr3:uid="{00000000-0010-0000-0A00-000054000000}" name="GLUCOSE-320"/>
    <tableColumn id="85" xr3:uid="{00000000-0010-0000-0A00-000055000000}" name="FRUCTOSE_inferida"/>
    <tableColumn id="86" xr3:uid="{00000000-0010-0000-0A00-000056000000}" name="C_total"/>
    <tableColumn id="87" xr3:uid="{00000000-0010-0000-0A00-000057000000}" name="C_viable"/>
    <tableColumn id="88" xr3:uid="{00000000-0010-0000-0A00-000058000000}" name="Budding_Index"/>
    <tableColumn id="89" xr3:uid="{00000000-0010-0000-0A00-000059000000}" name="DateTime_serial"/>
    <tableColumn id="90" xr3:uid="{00000000-0010-0000-0A00-00005A000000}" name="Archivo_origen"/>
    <tableColumn id="91" xr3:uid="{00000000-0010-0000-0A00-00005B000000}" name="flag_calidad"/>
    <tableColumn id="92" xr3:uid="{00000000-0010-0000-0A00-00005C000000}" name="observaciones_CC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Disenio_CCD" displayName="T_Disenio_CCD" ref="A1:Y11">
  <tableColumns count="25">
    <tableColumn id="1" xr3:uid="{00000000-0010-0000-0B00-000001000000}" name="Cubada"/>
    <tableColumn id="2" xr3:uid="{00000000-0010-0000-0B00-000002000000}" name="Temperatura_operacional_columna_Temperatura"/>
    <tableColumn id="3" xr3:uid="{00000000-0010-0000-0B00-000003000000}" name="Adicion"/>
    <tableColumn id="4" xr3:uid="{00000000-0010-0000-0B00-000004000000}" name="n_muestreos"/>
    <tableColumn id="5" xr3:uid="{00000000-0010-0000-0B00-000005000000}" name="t_min_h"/>
    <tableColumn id="6" xr3:uid="{00000000-0010-0000-0B00-000006000000}" name="t_max_h"/>
    <tableColumn id="7" xr3:uid="{00000000-0010-0000-0B00-000007000000}" name="Temperatura_Medida_promedio"/>
    <tableColumn id="8" xr3:uid="{00000000-0010-0000-0B00-000008000000}" name="Brix_inicial"/>
    <tableColumn id="9" xr3:uid="{00000000-0010-0000-0B00-000009000000}" name="Brix_final"/>
    <tableColumn id="10" xr3:uid="{00000000-0010-0000-0B00-00000A000000}" name="Densidad_inicial"/>
    <tableColumn id="11" xr3:uid="{00000000-0010-0000-0B00-00000B000000}" name="Densidad_final"/>
    <tableColumn id="12" xr3:uid="{00000000-0010-0000-0B00-00000C000000}" name="GLU-FRU_inicial"/>
    <tableColumn id="13" xr3:uid="{00000000-0010-0000-0B00-00000D000000}" name="GLU-FRU_final"/>
    <tableColumn id="14" xr3:uid="{00000000-0010-0000-0B00-00000E000000}" name="GLUCOSE_inicial"/>
    <tableColumn id="15" xr3:uid="{00000000-0010-0000-0B00-00000F000000}" name="GLUCOSE_final"/>
    <tableColumn id="16" xr3:uid="{00000000-0010-0000-0B00-000010000000}" name="FRUCTOSE_inferida_inicial"/>
    <tableColumn id="17" xr3:uid="{00000000-0010-0000-0B00-000011000000}" name="FRUCTOSE_inferida_final"/>
    <tableColumn id="18" xr3:uid="{00000000-0010-0000-0B00-000012000000}" name="YAN_inicial"/>
    <tableColumn id="19" xr3:uid="{00000000-0010-0000-0B00-000013000000}" name="YAN_final"/>
    <tableColumn id="20" xr3:uid="{00000000-0010-0000-0B00-000014000000}" name="ETANOL_final"/>
    <tableColumn id="21" xr3:uid="{00000000-0010-0000-0B00-000015000000}" name="GLYCEROL_final"/>
    <tableColumn id="22" xr3:uid="{00000000-0010-0000-0B00-000016000000}" name="C_total_final"/>
    <tableColumn id="23" xr3:uid="{00000000-0010-0000-0B00-000017000000}" name="C_viable_final"/>
    <tableColumn id="24" xr3:uid="{00000000-0010-0000-0B00-000018000000}" name="Viability_final"/>
    <tableColumn id="25" xr3:uid="{00000000-0010-0000-0B00-000019000000}" name="flag_calida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_Datos_Originales" displayName="T_Datos_Originales" ref="A1:U87">
  <tableColumns count="21">
    <tableColumn id="1" xr3:uid="{00000000-0010-0000-0C00-000001000000}" name="Codigo"/>
    <tableColumn id="2" xr3:uid="{00000000-0010-0000-0C00-000002000000}" name="Cubada"/>
    <tableColumn id="3" xr3:uid="{00000000-0010-0000-0C00-000003000000}" name="DateTime"/>
    <tableColumn id="4" xr3:uid="{00000000-0010-0000-0C00-000004000000}" name="Horas"/>
    <tableColumn id="5" xr3:uid="{00000000-0010-0000-0C00-000005000000}" name="Brix"/>
    <tableColumn id="6" xr3:uid="{00000000-0010-0000-0C00-000006000000}" name="Densidad"/>
    <tableColumn id="7" xr3:uid="{00000000-0010-0000-0C00-000007000000}" name="Temperatura Medida"/>
    <tableColumn id="8" xr3:uid="{00000000-0010-0000-0C00-000008000000}" name="Temperatura"/>
    <tableColumn id="9" xr3:uid="{00000000-0010-0000-0C00-000009000000}" name="Adicion"/>
    <tableColumn id="10" xr3:uid="{00000000-0010-0000-0C00-00000A000000}" name="AMMONIA"/>
    <tableColumn id="11" xr3:uid="{00000000-0010-0000-0C00-00000B000000}" name="GLYCEROL"/>
    <tableColumn id="12" xr3:uid="{00000000-0010-0000-0C00-00000C000000}" name="PAN"/>
    <tableColumn id="13" xr3:uid="{00000000-0010-0000-0C00-00000D000000}" name="PYRUVIC_ACID"/>
    <tableColumn id="14" xr3:uid="{00000000-0010-0000-0C00-00000E000000}" name="GLU-FRU-320"/>
    <tableColumn id="15" xr3:uid="{00000000-0010-0000-0C00-00000F000000}" name="GLUCOSE-320"/>
    <tableColumn id="16" xr3:uid="{00000000-0010-0000-0C00-000010000000}" name="YAN"/>
    <tableColumn id="17" xr3:uid="{00000000-0010-0000-0C00-000011000000}" name="C_total"/>
    <tableColumn id="18" xr3:uid="{00000000-0010-0000-0C00-000012000000}" name="C_viable"/>
    <tableColumn id="19" xr3:uid="{00000000-0010-0000-0C00-000013000000}" name="Budding_Index"/>
    <tableColumn id="20" xr3:uid="{00000000-0010-0000-0C00-000014000000}" name="Viability"/>
    <tableColumn id="21" xr3:uid="{00000000-0010-0000-0C00-000015000000}" name="ETANOL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_Flags_Calidad" displayName="T_Flags_Calidad" ref="A1:G2">
  <tableColumns count="7">
    <tableColumn id="1" xr3:uid="{00000000-0010-0000-0D00-000001000000}" name="Codigo"/>
    <tableColumn id="2" xr3:uid="{00000000-0010-0000-0D00-000002000000}" name="Cubada"/>
    <tableColumn id="3" xr3:uid="{00000000-0010-0000-0D00-000003000000}" name="Horas"/>
    <tableColumn id="4" xr3:uid="{00000000-0010-0000-0D00-000004000000}" name="Columna"/>
    <tableColumn id="5" xr3:uid="{00000000-0010-0000-0D00-000005000000}" name="Valor"/>
    <tableColumn id="6" xr3:uid="{00000000-0010-0000-0D00-000006000000}" name="Criterio"/>
    <tableColumn id="7" xr3:uid="{00000000-0010-0000-0D00-000007000000}" name="Acc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_Diccionario_Mapeo" displayName="T_Diccionario_Mapeo" ref="A1:C22">
  <tableColumns count="3">
    <tableColumn id="1" xr3:uid="{00000000-0010-0000-0E00-000001000000}" name="Campo homologado"/>
    <tableColumn id="2" xr3:uid="{00000000-0010-0000-0E00-000002000000}" name="Campo fuente / regla"/>
    <tableColumn id="3" xr3:uid="{00000000-0010-0000-0E00-000003000000}" name="Comen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baseColWidth="10" defaultColWidth="9" defaultRowHeight="14.25"/>
  <cols>
    <col min="1" max="1" width="36" customWidth="1"/>
    <col min="2" max="2" width="95" customWidth="1"/>
  </cols>
  <sheetData>
    <row r="1" spans="1:2" ht="15">
      <c r="A1" s="1" t="s">
        <v>0</v>
      </c>
      <c r="B1" s="1" t="s">
        <v>1</v>
      </c>
    </row>
    <row r="2" spans="1:2" ht="15">
      <c r="A2" s="4" t="s">
        <v>2</v>
      </c>
      <c r="B2" s="5" t="s">
        <v>3</v>
      </c>
    </row>
    <row r="3" spans="1:2" ht="15">
      <c r="A3" s="4" t="s">
        <v>4</v>
      </c>
      <c r="B3" s="5" t="s">
        <v>5</v>
      </c>
    </row>
    <row r="4" spans="1:2" ht="15">
      <c r="A4" s="4" t="s">
        <v>6</v>
      </c>
      <c r="B4" s="5" t="s">
        <v>7</v>
      </c>
    </row>
    <row r="5" spans="1:2" ht="15">
      <c r="A5" s="4" t="s">
        <v>8</v>
      </c>
      <c r="B5" s="5">
        <v>86</v>
      </c>
    </row>
    <row r="6" spans="1:2" ht="15">
      <c r="A6" s="4" t="s">
        <v>9</v>
      </c>
      <c r="B6" s="5" t="s">
        <v>10</v>
      </c>
    </row>
    <row r="7" spans="1:2" ht="28.5">
      <c r="A7" s="2" t="s">
        <v>11</v>
      </c>
      <c r="B7" s="2" t="s">
        <v>12</v>
      </c>
    </row>
    <row r="8" spans="1:2">
      <c r="A8" s="2" t="s">
        <v>13</v>
      </c>
      <c r="B8" s="2" t="s">
        <v>14</v>
      </c>
    </row>
    <row r="9" spans="1:2">
      <c r="A9" s="2" t="s">
        <v>15</v>
      </c>
      <c r="B9" s="2" t="s">
        <v>16</v>
      </c>
    </row>
    <row r="10" spans="1:2" ht="15">
      <c r="A10" s="3" t="s">
        <v>17</v>
      </c>
      <c r="B10" s="3">
        <v>1</v>
      </c>
    </row>
    <row r="11" spans="1:2" ht="15">
      <c r="A11" s="4" t="s">
        <v>18</v>
      </c>
      <c r="B11" s="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N87"/>
  <sheetViews>
    <sheetView workbookViewId="0"/>
  </sheetViews>
  <sheetFormatPr baseColWidth="10" defaultColWidth="9" defaultRowHeight="14.25"/>
  <cols>
    <col min="1" max="3" width="18" customWidth="1"/>
    <col min="4" max="92" width="13" customWidth="1"/>
  </cols>
  <sheetData>
    <row r="1" spans="1:92" ht="60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67</v>
      </c>
      <c r="AW1" s="1" t="s">
        <v>68</v>
      </c>
      <c r="AX1" s="1" t="s">
        <v>69</v>
      </c>
      <c r="AY1" s="1" t="s">
        <v>70</v>
      </c>
      <c r="AZ1" s="1" t="s">
        <v>71</v>
      </c>
      <c r="BA1" s="1" t="s">
        <v>72</v>
      </c>
      <c r="BB1" s="1" t="s">
        <v>73</v>
      </c>
      <c r="BC1" s="1" t="s">
        <v>74</v>
      </c>
      <c r="BD1" s="1" t="s">
        <v>75</v>
      </c>
      <c r="BE1" s="1" t="s">
        <v>76</v>
      </c>
      <c r="BF1" s="1" t="s">
        <v>77</v>
      </c>
      <c r="BG1" s="1" t="s">
        <v>78</v>
      </c>
      <c r="BH1" s="1" t="s">
        <v>79</v>
      </c>
      <c r="BI1" s="1" t="s">
        <v>80</v>
      </c>
      <c r="BJ1" s="1" t="s">
        <v>81</v>
      </c>
      <c r="BK1" s="1" t="s">
        <v>82</v>
      </c>
      <c r="BL1" s="1" t="s">
        <v>83</v>
      </c>
      <c r="BM1" s="1" t="s">
        <v>84</v>
      </c>
      <c r="BN1" s="1" t="s">
        <v>85</v>
      </c>
      <c r="BO1" s="1" t="s">
        <v>86</v>
      </c>
      <c r="BP1" s="1" t="s">
        <v>87</v>
      </c>
      <c r="BQ1" s="1" t="s">
        <v>88</v>
      </c>
      <c r="BR1" s="1" t="s">
        <v>89</v>
      </c>
      <c r="BS1" s="1" t="s">
        <v>90</v>
      </c>
      <c r="BT1" s="1" t="s">
        <v>91</v>
      </c>
      <c r="BU1" s="1" t="s">
        <v>92</v>
      </c>
      <c r="BV1" s="1" t="s">
        <v>93</v>
      </c>
      <c r="BW1" s="1" t="s">
        <v>94</v>
      </c>
      <c r="BX1" s="1" t="s">
        <v>95</v>
      </c>
      <c r="BY1" s="1" t="s">
        <v>96</v>
      </c>
      <c r="BZ1" s="1" t="s">
        <v>97</v>
      </c>
      <c r="CA1" s="1" t="s">
        <v>98</v>
      </c>
      <c r="CB1" s="1" t="s">
        <v>99</v>
      </c>
      <c r="CC1" s="1" t="s">
        <v>100</v>
      </c>
      <c r="CD1" s="1" t="s">
        <v>101</v>
      </c>
      <c r="CE1" s="1" t="s">
        <v>102</v>
      </c>
      <c r="CF1" s="1" t="s">
        <v>103</v>
      </c>
      <c r="CG1" s="1" t="s">
        <v>104</v>
      </c>
      <c r="CH1" s="1" t="s">
        <v>105</v>
      </c>
      <c r="CI1" s="1" t="s">
        <v>106</v>
      </c>
      <c r="CJ1" s="1" t="s">
        <v>107</v>
      </c>
      <c r="CK1" s="1" t="s">
        <v>108</v>
      </c>
      <c r="CL1" s="1" t="s">
        <v>109</v>
      </c>
      <c r="CM1" s="1" t="s">
        <v>110</v>
      </c>
      <c r="CN1" s="1" t="s">
        <v>111</v>
      </c>
    </row>
    <row r="2" spans="1:92">
      <c r="A2" t="s">
        <v>112</v>
      </c>
      <c r="B2" s="6">
        <v>45936.5</v>
      </c>
      <c r="C2" s="7">
        <v>0</v>
      </c>
      <c r="D2" s="7">
        <v>15</v>
      </c>
      <c r="E2" s="7">
        <v>1098.5999999999999</v>
      </c>
      <c r="F2" s="7"/>
      <c r="H2" s="7">
        <v>125.34</v>
      </c>
      <c r="I2" s="7">
        <f t="shared" ref="I2:I33" si="0">IF(OR(CE2="",CF2=""),"",CE2-CF2)</f>
        <v>120.52000000000001</v>
      </c>
      <c r="J2" s="7">
        <v>14</v>
      </c>
      <c r="K2" s="7">
        <v>256</v>
      </c>
      <c r="L2" s="7">
        <v>224</v>
      </c>
      <c r="M2" s="7">
        <v>0.34</v>
      </c>
      <c r="N2" s="7">
        <v>3</v>
      </c>
      <c r="Q2" s="7">
        <v>0</v>
      </c>
      <c r="R2">
        <v>1</v>
      </c>
      <c r="AA2" t="s">
        <v>113</v>
      </c>
      <c r="AB2" s="6">
        <v>45936.5</v>
      </c>
      <c r="AC2" t="s">
        <v>114</v>
      </c>
      <c r="AD2" t="s">
        <v>115</v>
      </c>
      <c r="AE2" t="s">
        <v>116</v>
      </c>
      <c r="AF2">
        <v>15</v>
      </c>
      <c r="AG2" t="s">
        <v>117</v>
      </c>
      <c r="AH2">
        <v>1</v>
      </c>
      <c r="AJ2" t="s">
        <v>118</v>
      </c>
      <c r="AK2" s="7">
        <v>23.7</v>
      </c>
      <c r="AN2">
        <v>15</v>
      </c>
      <c r="AP2">
        <v>245.86</v>
      </c>
      <c r="AT2" t="s">
        <v>119</v>
      </c>
      <c r="AU2" t="s">
        <v>120</v>
      </c>
      <c r="AV2" t="s">
        <v>121</v>
      </c>
      <c r="AY2" t="s">
        <v>122</v>
      </c>
      <c r="AZ2" t="s">
        <v>123</v>
      </c>
      <c r="BO2" t="s">
        <v>124</v>
      </c>
      <c r="BP2" t="s">
        <v>125</v>
      </c>
      <c r="BQ2" t="s">
        <v>113</v>
      </c>
      <c r="BR2" t="s">
        <v>113</v>
      </c>
      <c r="BS2" t="s">
        <v>126</v>
      </c>
      <c r="BX2" t="s">
        <v>127</v>
      </c>
      <c r="BY2" t="s">
        <v>128</v>
      </c>
      <c r="BZ2" t="s">
        <v>112</v>
      </c>
      <c r="CA2" t="s">
        <v>113</v>
      </c>
      <c r="CB2" s="7">
        <v>16.600000000000001</v>
      </c>
      <c r="CC2">
        <v>15</v>
      </c>
      <c r="CD2" s="7">
        <v>1</v>
      </c>
      <c r="CE2" s="7">
        <v>245.86</v>
      </c>
      <c r="CF2" s="7">
        <v>125.34</v>
      </c>
      <c r="CG2" s="7">
        <f t="shared" ref="CG2:CG33" si="1">IF(OR(CE2="",CF2=""),"",CE2-CF2)</f>
        <v>120.52000000000001</v>
      </c>
      <c r="CH2" s="7">
        <v>15</v>
      </c>
      <c r="CI2" s="7"/>
      <c r="CJ2" s="7"/>
      <c r="CK2" s="6">
        <v>45936.5</v>
      </c>
      <c r="CL2" t="s">
        <v>5</v>
      </c>
      <c r="CN2" t="s">
        <v>129</v>
      </c>
    </row>
    <row r="3" spans="1:92">
      <c r="A3" t="s">
        <v>130</v>
      </c>
      <c r="B3" s="6">
        <v>45936.645833333299</v>
      </c>
      <c r="C3" s="7">
        <v>3.5</v>
      </c>
      <c r="D3" s="7">
        <v>15</v>
      </c>
      <c r="E3" s="7">
        <v>1098.5</v>
      </c>
      <c r="F3" s="7">
        <v>46.69</v>
      </c>
      <c r="H3" s="7">
        <v>119.63</v>
      </c>
      <c r="I3" s="7">
        <f t="shared" si="0"/>
        <v>114.87</v>
      </c>
      <c r="J3" s="7">
        <v>87</v>
      </c>
      <c r="K3" s="7">
        <v>244</v>
      </c>
      <c r="L3" s="7">
        <v>287</v>
      </c>
      <c r="M3" s="7">
        <v>0.44</v>
      </c>
      <c r="N3" s="7">
        <v>5</v>
      </c>
      <c r="Q3" s="7"/>
      <c r="R3">
        <v>1</v>
      </c>
      <c r="AA3" t="s">
        <v>113</v>
      </c>
      <c r="AB3" s="6">
        <v>45936.645833333299</v>
      </c>
      <c r="AC3" t="s">
        <v>114</v>
      </c>
      <c r="AD3" t="s">
        <v>115</v>
      </c>
      <c r="AE3" t="s">
        <v>116</v>
      </c>
      <c r="AF3">
        <v>15</v>
      </c>
      <c r="AG3" t="s">
        <v>117</v>
      </c>
      <c r="AH3">
        <v>1</v>
      </c>
      <c r="AJ3" t="s">
        <v>118</v>
      </c>
      <c r="AK3" s="7">
        <v>23.6</v>
      </c>
      <c r="AN3">
        <v>23.77</v>
      </c>
      <c r="AO3">
        <v>10.5</v>
      </c>
      <c r="AP3">
        <v>234.5</v>
      </c>
      <c r="AT3" t="s">
        <v>119</v>
      </c>
      <c r="AU3" t="s">
        <v>131</v>
      </c>
      <c r="AV3" t="s">
        <v>121</v>
      </c>
      <c r="AY3" t="s">
        <v>122</v>
      </c>
      <c r="AZ3" t="s">
        <v>123</v>
      </c>
      <c r="BO3" t="s">
        <v>124</v>
      </c>
      <c r="BP3" t="s">
        <v>125</v>
      </c>
      <c r="BQ3" t="s">
        <v>113</v>
      </c>
      <c r="BR3" t="s">
        <v>113</v>
      </c>
      <c r="BS3" t="s">
        <v>126</v>
      </c>
      <c r="BX3" t="s">
        <v>127</v>
      </c>
      <c r="BY3" t="s">
        <v>128</v>
      </c>
      <c r="BZ3" t="s">
        <v>130</v>
      </c>
      <c r="CA3" t="s">
        <v>113</v>
      </c>
      <c r="CB3" s="7">
        <v>16.2</v>
      </c>
      <c r="CC3">
        <v>15</v>
      </c>
      <c r="CD3" s="7">
        <v>1</v>
      </c>
      <c r="CE3" s="7">
        <v>234.5</v>
      </c>
      <c r="CF3" s="7">
        <v>119.63</v>
      </c>
      <c r="CG3" s="7">
        <f t="shared" si="1"/>
        <v>114.87</v>
      </c>
      <c r="CH3" s="7">
        <v>23.77</v>
      </c>
      <c r="CI3" s="7">
        <v>11.1</v>
      </c>
      <c r="CJ3" s="7">
        <v>10.5</v>
      </c>
      <c r="CK3" s="6">
        <v>45936.645833333299</v>
      </c>
      <c r="CL3" t="s">
        <v>5</v>
      </c>
      <c r="CN3" t="s">
        <v>129</v>
      </c>
    </row>
    <row r="4" spans="1:92">
      <c r="A4" t="s">
        <v>132</v>
      </c>
      <c r="B4" s="6">
        <v>45937.4375</v>
      </c>
      <c r="C4" s="7">
        <v>22.5</v>
      </c>
      <c r="D4" s="7">
        <v>15</v>
      </c>
      <c r="E4" s="7">
        <v>1096.0999999999999</v>
      </c>
      <c r="F4" s="7">
        <v>44.56</v>
      </c>
      <c r="H4" s="7">
        <v>120.58</v>
      </c>
      <c r="I4" s="7">
        <f t="shared" si="0"/>
        <v>115.91000000000001</v>
      </c>
      <c r="J4" s="7">
        <v>72</v>
      </c>
      <c r="K4" s="7">
        <v>250</v>
      </c>
      <c r="L4" s="7">
        <v>277</v>
      </c>
      <c r="M4" s="7">
        <v>0.81</v>
      </c>
      <c r="N4" s="7">
        <v>13</v>
      </c>
      <c r="Q4" s="7"/>
      <c r="R4">
        <v>1</v>
      </c>
      <c r="AA4" t="s">
        <v>113</v>
      </c>
      <c r="AB4" s="6">
        <v>45937.4375</v>
      </c>
      <c r="AC4" t="s">
        <v>114</v>
      </c>
      <c r="AD4" t="s">
        <v>115</v>
      </c>
      <c r="AE4" t="s">
        <v>116</v>
      </c>
      <c r="AF4">
        <v>15</v>
      </c>
      <c r="AG4" t="s">
        <v>117</v>
      </c>
      <c r="AH4">
        <v>1</v>
      </c>
      <c r="AJ4" t="s">
        <v>118</v>
      </c>
      <c r="AK4" s="7">
        <v>23.3</v>
      </c>
      <c r="AN4">
        <v>37.4</v>
      </c>
      <c r="AO4">
        <v>18.28</v>
      </c>
      <c r="AP4">
        <v>236.49</v>
      </c>
      <c r="AT4" t="s">
        <v>119</v>
      </c>
      <c r="AU4" t="s">
        <v>133</v>
      </c>
      <c r="AV4" t="s">
        <v>121</v>
      </c>
      <c r="AY4" t="s">
        <v>122</v>
      </c>
      <c r="AZ4" t="s">
        <v>123</v>
      </c>
      <c r="BO4" t="s">
        <v>124</v>
      </c>
      <c r="BP4" t="s">
        <v>125</v>
      </c>
      <c r="BQ4" t="s">
        <v>113</v>
      </c>
      <c r="BR4" t="s">
        <v>113</v>
      </c>
      <c r="BS4" t="s">
        <v>126</v>
      </c>
      <c r="BX4" t="s">
        <v>127</v>
      </c>
      <c r="BY4" t="s">
        <v>128</v>
      </c>
      <c r="BZ4" t="s">
        <v>132</v>
      </c>
      <c r="CA4" t="s">
        <v>113</v>
      </c>
      <c r="CB4" s="7">
        <v>16.100000000000001</v>
      </c>
      <c r="CC4">
        <v>15</v>
      </c>
      <c r="CD4" s="7">
        <v>1</v>
      </c>
      <c r="CE4" s="7">
        <v>236.49</v>
      </c>
      <c r="CF4" s="7">
        <v>120.58</v>
      </c>
      <c r="CG4" s="7">
        <f t="shared" si="1"/>
        <v>115.91000000000001</v>
      </c>
      <c r="CH4" s="7">
        <v>37.4</v>
      </c>
      <c r="CI4" s="7">
        <v>16.670000000000002</v>
      </c>
      <c r="CJ4" s="7">
        <v>18.28</v>
      </c>
      <c r="CK4" s="6">
        <v>45937.4375</v>
      </c>
      <c r="CL4" t="s">
        <v>5</v>
      </c>
      <c r="CN4" t="s">
        <v>129</v>
      </c>
    </row>
    <row r="5" spans="1:92">
      <c r="A5" t="s">
        <v>134</v>
      </c>
      <c r="B5" s="6">
        <v>45938.4375</v>
      </c>
      <c r="C5" s="7">
        <v>46.5</v>
      </c>
      <c r="D5" s="7">
        <v>15</v>
      </c>
      <c r="E5" s="7">
        <v>1091.8</v>
      </c>
      <c r="F5" s="7">
        <v>47.2</v>
      </c>
      <c r="H5" s="7">
        <v>109.59</v>
      </c>
      <c r="I5" s="7">
        <f t="shared" si="0"/>
        <v>109.99000000000001</v>
      </c>
      <c r="J5" s="7">
        <v>93</v>
      </c>
      <c r="K5" s="7">
        <v>296</v>
      </c>
      <c r="L5" s="7">
        <v>335</v>
      </c>
      <c r="M5" s="7">
        <v>1.74</v>
      </c>
      <c r="N5" s="7">
        <v>42</v>
      </c>
      <c r="Q5" s="7"/>
      <c r="R5">
        <v>1</v>
      </c>
      <c r="AA5" t="s">
        <v>113</v>
      </c>
      <c r="AB5" s="6">
        <v>45938.4375</v>
      </c>
      <c r="AC5" t="s">
        <v>114</v>
      </c>
      <c r="AD5" t="s">
        <v>115</v>
      </c>
      <c r="AE5" t="s">
        <v>116</v>
      </c>
      <c r="AF5">
        <v>15</v>
      </c>
      <c r="AG5" t="s">
        <v>117</v>
      </c>
      <c r="AH5">
        <v>1</v>
      </c>
      <c r="AJ5" t="s">
        <v>118</v>
      </c>
      <c r="AK5" s="7">
        <v>22.2</v>
      </c>
      <c r="AN5">
        <v>49.31</v>
      </c>
      <c r="AO5">
        <v>16.82</v>
      </c>
      <c r="AP5">
        <v>219.58</v>
      </c>
      <c r="AT5" t="s">
        <v>119</v>
      </c>
      <c r="AU5" t="s">
        <v>135</v>
      </c>
      <c r="AV5" t="s">
        <v>121</v>
      </c>
      <c r="AY5" t="s">
        <v>122</v>
      </c>
      <c r="AZ5" t="s">
        <v>123</v>
      </c>
      <c r="BO5" t="s">
        <v>124</v>
      </c>
      <c r="BP5" t="s">
        <v>125</v>
      </c>
      <c r="BQ5" t="s">
        <v>113</v>
      </c>
      <c r="BR5" t="s">
        <v>113</v>
      </c>
      <c r="BS5" t="s">
        <v>126</v>
      </c>
      <c r="BX5" t="s">
        <v>127</v>
      </c>
      <c r="BY5" t="s">
        <v>128</v>
      </c>
      <c r="BZ5" t="s">
        <v>134</v>
      </c>
      <c r="CA5" t="s">
        <v>113</v>
      </c>
      <c r="CB5" s="7">
        <v>16.100000000000001</v>
      </c>
      <c r="CC5">
        <v>15</v>
      </c>
      <c r="CD5" s="7">
        <v>1</v>
      </c>
      <c r="CE5" s="7">
        <v>219.58</v>
      </c>
      <c r="CF5" s="7">
        <v>109.59</v>
      </c>
      <c r="CG5" s="7">
        <f t="shared" si="1"/>
        <v>109.99000000000001</v>
      </c>
      <c r="CH5" s="7">
        <v>49.31</v>
      </c>
      <c r="CI5" s="7">
        <v>23.27</v>
      </c>
      <c r="CJ5" s="7">
        <v>16.82</v>
      </c>
      <c r="CK5" s="6">
        <v>45938.4375</v>
      </c>
      <c r="CL5" t="s">
        <v>5</v>
      </c>
      <c r="CN5" t="s">
        <v>129</v>
      </c>
    </row>
    <row r="6" spans="1:92">
      <c r="A6" t="s">
        <v>136</v>
      </c>
      <c r="B6" s="6">
        <v>45939.416666666701</v>
      </c>
      <c r="C6" s="7">
        <v>70</v>
      </c>
      <c r="D6" s="7">
        <v>15</v>
      </c>
      <c r="E6" s="7">
        <v>1083.5999999999999</v>
      </c>
      <c r="F6" s="7">
        <v>57.19</v>
      </c>
      <c r="H6" s="7">
        <v>97.28</v>
      </c>
      <c r="I6" s="7">
        <f t="shared" si="0"/>
        <v>105.38999999999999</v>
      </c>
      <c r="J6" s="7">
        <v>64</v>
      </c>
      <c r="K6" s="7">
        <v>272</v>
      </c>
      <c r="L6" s="7">
        <v>286</v>
      </c>
      <c r="M6" s="7">
        <v>2.87</v>
      </c>
      <c r="N6" s="7">
        <v>73</v>
      </c>
      <c r="Q6" s="7"/>
      <c r="R6">
        <v>1</v>
      </c>
      <c r="AA6" t="s">
        <v>113</v>
      </c>
      <c r="AB6" s="6">
        <v>45939.416666666701</v>
      </c>
      <c r="AC6" t="s">
        <v>114</v>
      </c>
      <c r="AD6" t="s">
        <v>115</v>
      </c>
      <c r="AE6" t="s">
        <v>116</v>
      </c>
      <c r="AF6">
        <v>15</v>
      </c>
      <c r="AG6" t="s">
        <v>117</v>
      </c>
      <c r="AH6">
        <v>1</v>
      </c>
      <c r="AJ6" t="s">
        <v>118</v>
      </c>
      <c r="AK6" s="7">
        <v>20.3</v>
      </c>
      <c r="AN6">
        <v>72.12</v>
      </c>
      <c r="AO6">
        <v>18.32</v>
      </c>
      <c r="AP6">
        <v>202.67</v>
      </c>
      <c r="AT6" t="s">
        <v>119</v>
      </c>
      <c r="AU6" t="s">
        <v>137</v>
      </c>
      <c r="AV6" t="s">
        <v>121</v>
      </c>
      <c r="AY6" t="s">
        <v>122</v>
      </c>
      <c r="AZ6" t="s">
        <v>123</v>
      </c>
      <c r="BO6" t="s">
        <v>124</v>
      </c>
      <c r="BP6" t="s">
        <v>125</v>
      </c>
      <c r="BQ6" t="s">
        <v>113</v>
      </c>
      <c r="BR6" t="s">
        <v>113</v>
      </c>
      <c r="BS6" t="s">
        <v>126</v>
      </c>
      <c r="BX6" t="s">
        <v>127</v>
      </c>
      <c r="BY6" t="s">
        <v>128</v>
      </c>
      <c r="BZ6" t="s">
        <v>136</v>
      </c>
      <c r="CA6" t="s">
        <v>113</v>
      </c>
      <c r="CB6" s="7">
        <v>15.6</v>
      </c>
      <c r="CC6">
        <v>15</v>
      </c>
      <c r="CD6" s="7">
        <v>1</v>
      </c>
      <c r="CE6" s="7">
        <v>202.67</v>
      </c>
      <c r="CF6" s="7">
        <v>97.28</v>
      </c>
      <c r="CG6" s="7">
        <f t="shared" si="1"/>
        <v>105.38999999999999</v>
      </c>
      <c r="CH6" s="7">
        <v>72.12</v>
      </c>
      <c r="CI6" s="7">
        <v>41.24</v>
      </c>
      <c r="CJ6" s="7">
        <v>18.32</v>
      </c>
      <c r="CK6" s="6">
        <v>45939.416666666701</v>
      </c>
      <c r="CL6" t="s">
        <v>5</v>
      </c>
      <c r="CN6" t="s">
        <v>129</v>
      </c>
    </row>
    <row r="7" spans="1:92">
      <c r="A7" t="s">
        <v>138</v>
      </c>
      <c r="B7" s="6">
        <v>45940.416666666701</v>
      </c>
      <c r="C7" s="7">
        <v>94</v>
      </c>
      <c r="D7" s="7">
        <v>15</v>
      </c>
      <c r="E7" s="7">
        <v>1068.9000000000001</v>
      </c>
      <c r="F7" s="7">
        <v>63.67</v>
      </c>
      <c r="H7" s="7">
        <v>74.03</v>
      </c>
      <c r="I7" s="7">
        <f t="shared" si="0"/>
        <v>96.56</v>
      </c>
      <c r="J7" s="7">
        <v>51</v>
      </c>
      <c r="K7" s="7">
        <v>199</v>
      </c>
      <c r="L7" s="7">
        <v>214</v>
      </c>
      <c r="M7" s="7">
        <v>4.34</v>
      </c>
      <c r="N7" s="7">
        <v>79</v>
      </c>
      <c r="Q7" s="7">
        <v>3.87</v>
      </c>
      <c r="R7">
        <v>1</v>
      </c>
      <c r="AA7" t="s">
        <v>113</v>
      </c>
      <c r="AB7" s="6">
        <v>45940.416666666701</v>
      </c>
      <c r="AC7" t="s">
        <v>114</v>
      </c>
      <c r="AD7" t="s">
        <v>115</v>
      </c>
      <c r="AE7" t="s">
        <v>116</v>
      </c>
      <c r="AF7">
        <v>15</v>
      </c>
      <c r="AG7" t="s">
        <v>117</v>
      </c>
      <c r="AH7">
        <v>1</v>
      </c>
      <c r="AJ7" t="s">
        <v>118</v>
      </c>
      <c r="AK7" s="7">
        <v>17.100000000000001</v>
      </c>
      <c r="AN7">
        <v>75.27</v>
      </c>
      <c r="AO7">
        <v>15.51</v>
      </c>
      <c r="AP7">
        <v>170.59</v>
      </c>
      <c r="AT7" t="s">
        <v>119</v>
      </c>
      <c r="AU7" t="s">
        <v>139</v>
      </c>
      <c r="AV7" t="s">
        <v>121</v>
      </c>
      <c r="AY7" t="s">
        <v>122</v>
      </c>
      <c r="AZ7" t="s">
        <v>123</v>
      </c>
      <c r="BO7" t="s">
        <v>124</v>
      </c>
      <c r="BP7" t="s">
        <v>125</v>
      </c>
      <c r="BQ7" t="s">
        <v>113</v>
      </c>
      <c r="BR7" t="s">
        <v>113</v>
      </c>
      <c r="BS7" t="s">
        <v>126</v>
      </c>
      <c r="BX7" t="s">
        <v>127</v>
      </c>
      <c r="BY7" t="s">
        <v>128</v>
      </c>
      <c r="BZ7" t="s">
        <v>138</v>
      </c>
      <c r="CA7" t="s">
        <v>113</v>
      </c>
      <c r="CB7" s="7">
        <v>15.8</v>
      </c>
      <c r="CC7">
        <v>15</v>
      </c>
      <c r="CD7" s="7">
        <v>1</v>
      </c>
      <c r="CE7" s="7">
        <v>170.59</v>
      </c>
      <c r="CF7" s="7">
        <v>74.03</v>
      </c>
      <c r="CG7" s="7">
        <f t="shared" si="1"/>
        <v>96.56</v>
      </c>
      <c r="CH7" s="7">
        <v>75.27</v>
      </c>
      <c r="CI7" s="7">
        <v>47.93</v>
      </c>
      <c r="CJ7" s="7">
        <v>15.51</v>
      </c>
      <c r="CK7" s="6">
        <v>45940.416666666701</v>
      </c>
      <c r="CL7" t="s">
        <v>5</v>
      </c>
      <c r="CN7" t="s">
        <v>129</v>
      </c>
    </row>
    <row r="8" spans="1:92">
      <c r="A8" t="s">
        <v>140</v>
      </c>
      <c r="B8" s="6">
        <v>45943.395833333299</v>
      </c>
      <c r="C8" s="7">
        <v>165.5</v>
      </c>
      <c r="D8" s="7">
        <v>15</v>
      </c>
      <c r="E8" s="7">
        <v>1035.5</v>
      </c>
      <c r="F8" s="7">
        <v>70.88</v>
      </c>
      <c r="H8" s="7">
        <v>30.35</v>
      </c>
      <c r="I8" s="7">
        <f t="shared" si="0"/>
        <v>64.52000000000001</v>
      </c>
      <c r="J8" s="7">
        <v>42</v>
      </c>
      <c r="K8" s="7">
        <v>109</v>
      </c>
      <c r="L8" s="7">
        <v>131</v>
      </c>
      <c r="M8" s="7">
        <v>6.3</v>
      </c>
      <c r="N8" s="7">
        <v>55</v>
      </c>
      <c r="Q8" s="7">
        <v>8.44</v>
      </c>
      <c r="R8">
        <v>1</v>
      </c>
      <c r="AA8" t="s">
        <v>113</v>
      </c>
      <c r="AB8" s="6">
        <v>45943.395833333299</v>
      </c>
      <c r="AC8" t="s">
        <v>114</v>
      </c>
      <c r="AD8" t="s">
        <v>115</v>
      </c>
      <c r="AE8" t="s">
        <v>116</v>
      </c>
      <c r="AF8">
        <v>15</v>
      </c>
      <c r="AG8" t="s">
        <v>117</v>
      </c>
      <c r="AH8">
        <v>1</v>
      </c>
      <c r="AJ8" t="s">
        <v>118</v>
      </c>
      <c r="AK8" s="7">
        <v>9.3000000000000007</v>
      </c>
      <c r="AN8">
        <v>75.959999999999994</v>
      </c>
      <c r="AO8">
        <v>10.72</v>
      </c>
      <c r="AP8">
        <v>94.87</v>
      </c>
      <c r="AT8" t="s">
        <v>119</v>
      </c>
      <c r="AU8" t="s">
        <v>141</v>
      </c>
      <c r="AV8" t="s">
        <v>121</v>
      </c>
      <c r="AY8" t="s">
        <v>122</v>
      </c>
      <c r="AZ8" t="s">
        <v>123</v>
      </c>
      <c r="BO8" t="s">
        <v>124</v>
      </c>
      <c r="BP8" t="s">
        <v>125</v>
      </c>
      <c r="BQ8" t="s">
        <v>113</v>
      </c>
      <c r="BR8" t="s">
        <v>113</v>
      </c>
      <c r="BS8" t="s">
        <v>126</v>
      </c>
      <c r="BX8" t="s">
        <v>127</v>
      </c>
      <c r="BY8" t="s">
        <v>128</v>
      </c>
      <c r="BZ8" t="s">
        <v>140</v>
      </c>
      <c r="CA8" t="s">
        <v>113</v>
      </c>
      <c r="CB8" s="7">
        <v>18.100000000000001</v>
      </c>
      <c r="CC8">
        <v>15</v>
      </c>
      <c r="CD8" s="7">
        <v>1</v>
      </c>
      <c r="CE8" s="7">
        <v>94.87</v>
      </c>
      <c r="CF8" s="7">
        <v>30.35</v>
      </c>
      <c r="CG8" s="7">
        <f t="shared" si="1"/>
        <v>64.52000000000001</v>
      </c>
      <c r="CH8" s="7">
        <v>75.959999999999994</v>
      </c>
      <c r="CI8" s="7">
        <v>53.84</v>
      </c>
      <c r="CJ8" s="7">
        <v>10.72</v>
      </c>
      <c r="CK8" s="6">
        <v>45943.395833333299</v>
      </c>
      <c r="CL8" t="s">
        <v>5</v>
      </c>
      <c r="CN8" t="s">
        <v>129</v>
      </c>
    </row>
    <row r="9" spans="1:92">
      <c r="A9" t="s">
        <v>142</v>
      </c>
      <c r="B9" s="6">
        <v>45944.416666666701</v>
      </c>
      <c r="C9" s="7">
        <v>190</v>
      </c>
      <c r="D9" s="7">
        <v>15</v>
      </c>
      <c r="E9" s="7">
        <v>1028.2</v>
      </c>
      <c r="F9" s="7">
        <v>64.63</v>
      </c>
      <c r="H9" s="7">
        <v>20.420000000000002</v>
      </c>
      <c r="I9" s="7">
        <f t="shared" si="0"/>
        <v>56.05</v>
      </c>
      <c r="J9" s="7">
        <v>43</v>
      </c>
      <c r="K9" s="7">
        <v>91</v>
      </c>
      <c r="L9" s="7">
        <v>117</v>
      </c>
      <c r="M9" s="7">
        <v>6.3</v>
      </c>
      <c r="N9" s="7">
        <v>38</v>
      </c>
      <c r="Q9" s="7"/>
      <c r="R9">
        <v>1</v>
      </c>
      <c r="AA9" t="s">
        <v>113</v>
      </c>
      <c r="AB9" s="6">
        <v>45944.416666666701</v>
      </c>
      <c r="AC9" t="s">
        <v>114</v>
      </c>
      <c r="AD9" t="s">
        <v>115</v>
      </c>
      <c r="AE9" t="s">
        <v>116</v>
      </c>
      <c r="AF9">
        <v>15</v>
      </c>
      <c r="AG9" t="s">
        <v>117</v>
      </c>
      <c r="AH9">
        <v>1</v>
      </c>
      <c r="AJ9" t="s">
        <v>118</v>
      </c>
      <c r="AK9" s="7">
        <v>7.4</v>
      </c>
      <c r="AN9">
        <v>67.97</v>
      </c>
      <c r="AO9">
        <v>10.06</v>
      </c>
      <c r="AP9">
        <v>76.47</v>
      </c>
      <c r="AT9" t="s">
        <v>119</v>
      </c>
      <c r="AU9" t="s">
        <v>143</v>
      </c>
      <c r="AV9" t="s">
        <v>121</v>
      </c>
      <c r="AY9" t="s">
        <v>122</v>
      </c>
      <c r="AZ9" t="s">
        <v>123</v>
      </c>
      <c r="BO9" t="s">
        <v>124</v>
      </c>
      <c r="BP9" t="s">
        <v>125</v>
      </c>
      <c r="BQ9" t="s">
        <v>113</v>
      </c>
      <c r="BR9" t="s">
        <v>113</v>
      </c>
      <c r="BS9" t="s">
        <v>126</v>
      </c>
      <c r="BX9" t="s">
        <v>127</v>
      </c>
      <c r="BY9" t="s">
        <v>128</v>
      </c>
      <c r="BZ9" t="s">
        <v>142</v>
      </c>
      <c r="CA9" t="s">
        <v>113</v>
      </c>
      <c r="CB9" s="7">
        <v>16.2</v>
      </c>
      <c r="CC9">
        <v>15</v>
      </c>
      <c r="CD9" s="7">
        <v>1</v>
      </c>
      <c r="CE9" s="7">
        <v>76.47</v>
      </c>
      <c r="CF9" s="7">
        <v>20.420000000000002</v>
      </c>
      <c r="CG9" s="7">
        <f t="shared" si="1"/>
        <v>56.05</v>
      </c>
      <c r="CH9" s="7">
        <v>67.97</v>
      </c>
      <c r="CI9" s="7">
        <v>43.93</v>
      </c>
      <c r="CJ9" s="7">
        <v>10.06</v>
      </c>
      <c r="CK9" s="6">
        <v>45944.416666666701</v>
      </c>
      <c r="CL9" t="s">
        <v>5</v>
      </c>
      <c r="CN9" t="s">
        <v>129</v>
      </c>
    </row>
    <row r="10" spans="1:92">
      <c r="A10" t="s">
        <v>144</v>
      </c>
      <c r="B10" s="6">
        <v>45945.375</v>
      </c>
      <c r="C10" s="7">
        <v>213</v>
      </c>
      <c r="D10" s="7">
        <v>15</v>
      </c>
      <c r="E10" s="7">
        <v>1020.9</v>
      </c>
      <c r="F10" s="7">
        <v>63.57</v>
      </c>
      <c r="H10" s="7">
        <v>14.64</v>
      </c>
      <c r="I10" s="7">
        <f t="shared" si="0"/>
        <v>49.08</v>
      </c>
      <c r="J10" s="7">
        <v>45</v>
      </c>
      <c r="K10" s="7">
        <v>90</v>
      </c>
      <c r="L10" s="7">
        <v>119</v>
      </c>
      <c r="M10" s="7">
        <v>6.76</v>
      </c>
      <c r="N10" s="7">
        <v>35</v>
      </c>
      <c r="Q10" s="7">
        <v>10.039999999999999</v>
      </c>
      <c r="R10">
        <v>1</v>
      </c>
      <c r="AA10" t="s">
        <v>113</v>
      </c>
      <c r="AB10" s="6">
        <v>45945.375</v>
      </c>
      <c r="AC10" t="s">
        <v>114</v>
      </c>
      <c r="AD10" t="s">
        <v>115</v>
      </c>
      <c r="AE10" t="s">
        <v>116</v>
      </c>
      <c r="AF10">
        <v>15</v>
      </c>
      <c r="AG10" t="s">
        <v>117</v>
      </c>
      <c r="AH10">
        <v>1</v>
      </c>
      <c r="AJ10" t="s">
        <v>118</v>
      </c>
      <c r="AK10" s="7">
        <v>5.6</v>
      </c>
      <c r="AN10">
        <v>72.73</v>
      </c>
      <c r="AO10">
        <v>11.72</v>
      </c>
      <c r="AP10">
        <v>63.72</v>
      </c>
      <c r="AT10" t="s">
        <v>119</v>
      </c>
      <c r="AU10" t="s">
        <v>145</v>
      </c>
      <c r="AV10" t="s">
        <v>121</v>
      </c>
      <c r="AY10" t="s">
        <v>122</v>
      </c>
      <c r="AZ10" t="s">
        <v>123</v>
      </c>
      <c r="BO10" t="s">
        <v>124</v>
      </c>
      <c r="BP10" t="s">
        <v>125</v>
      </c>
      <c r="BQ10" t="s">
        <v>113</v>
      </c>
      <c r="BR10" t="s">
        <v>113</v>
      </c>
      <c r="BS10" t="s">
        <v>126</v>
      </c>
      <c r="BX10" t="s">
        <v>127</v>
      </c>
      <c r="BY10" t="s">
        <v>128</v>
      </c>
      <c r="BZ10" t="s">
        <v>144</v>
      </c>
      <c r="CA10" t="s">
        <v>113</v>
      </c>
      <c r="CB10" s="7">
        <v>16.899999999999999</v>
      </c>
      <c r="CC10">
        <v>15</v>
      </c>
      <c r="CD10" s="7">
        <v>1</v>
      </c>
      <c r="CE10" s="7">
        <v>63.72</v>
      </c>
      <c r="CF10" s="7">
        <v>14.64</v>
      </c>
      <c r="CG10" s="7">
        <f t="shared" si="1"/>
        <v>49.08</v>
      </c>
      <c r="CH10" s="7">
        <v>72.73</v>
      </c>
      <c r="CI10" s="7">
        <v>46.24</v>
      </c>
      <c r="CJ10" s="7">
        <v>11.72</v>
      </c>
      <c r="CK10" s="6">
        <v>45945.375</v>
      </c>
      <c r="CL10" t="s">
        <v>5</v>
      </c>
      <c r="CN10" t="s">
        <v>129</v>
      </c>
    </row>
    <row r="11" spans="1:92">
      <c r="A11" t="s">
        <v>146</v>
      </c>
      <c r="B11" s="6">
        <v>45936.5</v>
      </c>
      <c r="C11" s="7">
        <v>0</v>
      </c>
      <c r="D11" s="7">
        <v>15</v>
      </c>
      <c r="E11" s="7">
        <v>1097.0999999999999</v>
      </c>
      <c r="F11" s="7"/>
      <c r="H11" s="7">
        <v>124.28</v>
      </c>
      <c r="I11" s="7">
        <f t="shared" si="0"/>
        <v>119.63</v>
      </c>
      <c r="J11" s="7">
        <v>13</v>
      </c>
      <c r="K11" s="7">
        <v>249</v>
      </c>
      <c r="L11" s="7">
        <v>218</v>
      </c>
      <c r="M11" s="7">
        <v>0.38</v>
      </c>
      <c r="N11" s="7">
        <v>4</v>
      </c>
      <c r="Q11" s="7">
        <v>0</v>
      </c>
      <c r="R11">
        <v>4</v>
      </c>
      <c r="AA11" t="s">
        <v>147</v>
      </c>
      <c r="AB11" s="6">
        <v>45936.5</v>
      </c>
      <c r="AC11" t="s">
        <v>114</v>
      </c>
      <c r="AD11" t="s">
        <v>115</v>
      </c>
      <c r="AE11" t="s">
        <v>116</v>
      </c>
      <c r="AF11">
        <v>15</v>
      </c>
      <c r="AG11" t="s">
        <v>148</v>
      </c>
      <c r="AH11">
        <v>4</v>
      </c>
      <c r="AJ11" t="s">
        <v>118</v>
      </c>
      <c r="AK11" s="7">
        <v>23.4</v>
      </c>
      <c r="AN11">
        <v>15</v>
      </c>
      <c r="AP11">
        <v>243.91</v>
      </c>
      <c r="AT11" t="s">
        <v>119</v>
      </c>
      <c r="AU11" t="s">
        <v>120</v>
      </c>
      <c r="AV11" t="s">
        <v>121</v>
      </c>
      <c r="AY11" t="s">
        <v>122</v>
      </c>
      <c r="AZ11" t="s">
        <v>123</v>
      </c>
      <c r="BO11" t="s">
        <v>124</v>
      </c>
      <c r="BP11" t="s">
        <v>125</v>
      </c>
      <c r="BQ11" t="s">
        <v>147</v>
      </c>
      <c r="BR11" t="s">
        <v>147</v>
      </c>
      <c r="BS11" t="s">
        <v>149</v>
      </c>
      <c r="BX11" t="s">
        <v>127</v>
      </c>
      <c r="BY11" t="s">
        <v>128</v>
      </c>
      <c r="BZ11" t="s">
        <v>146</v>
      </c>
      <c r="CA11" t="s">
        <v>147</v>
      </c>
      <c r="CB11" s="7">
        <v>16.8</v>
      </c>
      <c r="CC11">
        <v>15</v>
      </c>
      <c r="CD11" s="7">
        <v>4</v>
      </c>
      <c r="CE11" s="7">
        <v>243.91</v>
      </c>
      <c r="CF11" s="7">
        <v>124.28</v>
      </c>
      <c r="CG11" s="7">
        <f t="shared" si="1"/>
        <v>119.63</v>
      </c>
      <c r="CH11" s="7">
        <v>15</v>
      </c>
      <c r="CI11" s="7"/>
      <c r="CJ11" s="7"/>
      <c r="CK11" s="6">
        <v>45936.5</v>
      </c>
      <c r="CL11" t="s">
        <v>5</v>
      </c>
      <c r="CN11" t="s">
        <v>129</v>
      </c>
    </row>
    <row r="12" spans="1:92">
      <c r="A12" t="s">
        <v>150</v>
      </c>
      <c r="B12" s="6">
        <v>45936.645833333299</v>
      </c>
      <c r="C12" s="7">
        <v>3.5</v>
      </c>
      <c r="D12" s="7">
        <v>15</v>
      </c>
      <c r="E12" s="7">
        <v>1097.0999999999999</v>
      </c>
      <c r="F12" s="7">
        <v>53.98</v>
      </c>
      <c r="H12" s="7">
        <v>118.87</v>
      </c>
      <c r="I12" s="7">
        <f t="shared" si="0"/>
        <v>115.38999999999999</v>
      </c>
      <c r="J12" s="7">
        <v>83</v>
      </c>
      <c r="K12" s="7">
        <v>245</v>
      </c>
      <c r="L12" s="7">
        <v>285</v>
      </c>
      <c r="M12" s="7"/>
      <c r="N12" s="7">
        <v>4</v>
      </c>
      <c r="Q12" s="7"/>
      <c r="R12">
        <v>4</v>
      </c>
      <c r="AA12" t="s">
        <v>147</v>
      </c>
      <c r="AB12" s="6">
        <v>45936.645833333299</v>
      </c>
      <c r="AC12" t="s">
        <v>114</v>
      </c>
      <c r="AD12" t="s">
        <v>115</v>
      </c>
      <c r="AE12" t="s">
        <v>116</v>
      </c>
      <c r="AF12">
        <v>15</v>
      </c>
      <c r="AG12" t="s">
        <v>148</v>
      </c>
      <c r="AH12">
        <v>4</v>
      </c>
      <c r="AJ12" t="s">
        <v>118</v>
      </c>
      <c r="AK12" s="7">
        <v>23.3</v>
      </c>
      <c r="AN12">
        <v>20.274999999999999</v>
      </c>
      <c r="AO12">
        <v>12.31</v>
      </c>
      <c r="AP12">
        <v>234.26</v>
      </c>
      <c r="AT12" t="s">
        <v>119</v>
      </c>
      <c r="AU12" t="s">
        <v>131</v>
      </c>
      <c r="AV12" t="s">
        <v>121</v>
      </c>
      <c r="AY12" t="s">
        <v>122</v>
      </c>
      <c r="AZ12" t="s">
        <v>123</v>
      </c>
      <c r="BO12" t="s">
        <v>124</v>
      </c>
      <c r="BP12" t="s">
        <v>125</v>
      </c>
      <c r="BQ12" t="s">
        <v>147</v>
      </c>
      <c r="BR12" t="s">
        <v>147</v>
      </c>
      <c r="BS12" t="s">
        <v>149</v>
      </c>
      <c r="BX12" t="s">
        <v>127</v>
      </c>
      <c r="BY12" t="s">
        <v>128</v>
      </c>
      <c r="BZ12" t="s">
        <v>150</v>
      </c>
      <c r="CA12" t="s">
        <v>147</v>
      </c>
      <c r="CB12" s="7">
        <v>16.100000000000001</v>
      </c>
      <c r="CC12">
        <v>15</v>
      </c>
      <c r="CD12" s="7">
        <v>4</v>
      </c>
      <c r="CE12" s="7">
        <v>234.26</v>
      </c>
      <c r="CF12" s="7">
        <v>118.87</v>
      </c>
      <c r="CG12" s="7">
        <f t="shared" si="1"/>
        <v>115.38999999999999</v>
      </c>
      <c r="CH12" s="7">
        <v>20.274999999999999</v>
      </c>
      <c r="CI12" s="7">
        <v>10.945</v>
      </c>
      <c r="CJ12" s="7">
        <v>12.31</v>
      </c>
      <c r="CK12" s="6">
        <v>45936.645833333299</v>
      </c>
      <c r="CL12" t="s">
        <v>5</v>
      </c>
      <c r="CN12" t="s">
        <v>129</v>
      </c>
    </row>
    <row r="13" spans="1:92">
      <c r="A13" t="s">
        <v>151</v>
      </c>
      <c r="B13" s="6">
        <v>45937.4375</v>
      </c>
      <c r="C13" s="7">
        <v>22.5</v>
      </c>
      <c r="D13" s="7">
        <v>15</v>
      </c>
      <c r="E13" s="7">
        <v>1094.9000000000001</v>
      </c>
      <c r="F13" s="7">
        <v>48.99</v>
      </c>
      <c r="H13" s="7">
        <v>118.47</v>
      </c>
      <c r="I13" s="7">
        <f t="shared" si="0"/>
        <v>116.72</v>
      </c>
      <c r="J13" s="7">
        <v>69</v>
      </c>
      <c r="K13" s="7">
        <v>249</v>
      </c>
      <c r="L13" s="7">
        <v>272</v>
      </c>
      <c r="M13" s="7">
        <v>0.79</v>
      </c>
      <c r="N13" s="7">
        <v>12</v>
      </c>
      <c r="Q13" s="7"/>
      <c r="R13">
        <v>4</v>
      </c>
      <c r="AA13" t="s">
        <v>147</v>
      </c>
      <c r="AB13" s="6">
        <v>45937.4375</v>
      </c>
      <c r="AC13" t="s">
        <v>114</v>
      </c>
      <c r="AD13" t="s">
        <v>115</v>
      </c>
      <c r="AE13" t="s">
        <v>116</v>
      </c>
      <c r="AF13">
        <v>15</v>
      </c>
      <c r="AG13" t="s">
        <v>148</v>
      </c>
      <c r="AH13">
        <v>4</v>
      </c>
      <c r="AJ13" t="s">
        <v>118</v>
      </c>
      <c r="AK13" s="7">
        <v>23</v>
      </c>
      <c r="AN13">
        <v>38.1</v>
      </c>
      <c r="AO13">
        <v>18.350000000000001</v>
      </c>
      <c r="AP13">
        <v>235.19</v>
      </c>
      <c r="AT13" t="s">
        <v>119</v>
      </c>
      <c r="AU13" t="s">
        <v>133</v>
      </c>
      <c r="AV13" t="s">
        <v>121</v>
      </c>
      <c r="AY13" t="s">
        <v>122</v>
      </c>
      <c r="AZ13" t="s">
        <v>123</v>
      </c>
      <c r="BO13" t="s">
        <v>124</v>
      </c>
      <c r="BP13" t="s">
        <v>125</v>
      </c>
      <c r="BQ13" t="s">
        <v>147</v>
      </c>
      <c r="BR13" t="s">
        <v>147</v>
      </c>
      <c r="BS13" t="s">
        <v>149</v>
      </c>
      <c r="BX13" t="s">
        <v>127</v>
      </c>
      <c r="BY13" t="s">
        <v>128</v>
      </c>
      <c r="BZ13" t="s">
        <v>151</v>
      </c>
      <c r="CA13" t="s">
        <v>147</v>
      </c>
      <c r="CB13" s="7">
        <v>16.5</v>
      </c>
      <c r="CC13">
        <v>15</v>
      </c>
      <c r="CD13" s="7">
        <v>4</v>
      </c>
      <c r="CE13" s="7">
        <v>235.19</v>
      </c>
      <c r="CF13" s="7">
        <v>118.47</v>
      </c>
      <c r="CG13" s="7">
        <f t="shared" si="1"/>
        <v>116.72</v>
      </c>
      <c r="CH13" s="7">
        <v>38.1</v>
      </c>
      <c r="CI13" s="7">
        <v>9.33</v>
      </c>
      <c r="CJ13" s="7">
        <v>18.350000000000001</v>
      </c>
      <c r="CK13" s="6">
        <v>45937.4375</v>
      </c>
      <c r="CL13" t="s">
        <v>5</v>
      </c>
      <c r="CN13" t="s">
        <v>129</v>
      </c>
    </row>
    <row r="14" spans="1:92">
      <c r="A14" t="s">
        <v>152</v>
      </c>
      <c r="B14" s="6">
        <v>45938.4375</v>
      </c>
      <c r="C14" s="7">
        <v>46.5</v>
      </c>
      <c r="D14" s="7">
        <v>15</v>
      </c>
      <c r="E14" s="7">
        <v>1091.3</v>
      </c>
      <c r="F14" s="7">
        <v>65.989999999999995</v>
      </c>
      <c r="H14" s="7">
        <v>112.06</v>
      </c>
      <c r="I14" s="7">
        <f t="shared" si="0"/>
        <v>111.07</v>
      </c>
      <c r="J14" s="7">
        <v>40</v>
      </c>
      <c r="K14" s="7">
        <v>230</v>
      </c>
      <c r="L14" s="7">
        <v>229</v>
      </c>
      <c r="M14" s="7">
        <v>1.77</v>
      </c>
      <c r="N14" s="7">
        <v>38</v>
      </c>
      <c r="Q14" s="7"/>
      <c r="R14">
        <v>4</v>
      </c>
      <c r="AA14" t="s">
        <v>147</v>
      </c>
      <c r="AB14" s="6">
        <v>45938.4375</v>
      </c>
      <c r="AC14" t="s">
        <v>114</v>
      </c>
      <c r="AD14" t="s">
        <v>115</v>
      </c>
      <c r="AE14" t="s">
        <v>116</v>
      </c>
      <c r="AF14">
        <v>15</v>
      </c>
      <c r="AG14" t="s">
        <v>148</v>
      </c>
      <c r="AH14">
        <v>4</v>
      </c>
      <c r="AJ14" t="s">
        <v>118</v>
      </c>
      <c r="AK14" s="7">
        <v>22</v>
      </c>
      <c r="AN14">
        <v>45.39</v>
      </c>
      <c r="AO14">
        <v>21.32</v>
      </c>
      <c r="AP14">
        <v>223.13</v>
      </c>
      <c r="AT14" t="s">
        <v>119</v>
      </c>
      <c r="AU14" t="s">
        <v>135</v>
      </c>
      <c r="AV14" t="s">
        <v>121</v>
      </c>
      <c r="AY14" t="s">
        <v>122</v>
      </c>
      <c r="AZ14" t="s">
        <v>123</v>
      </c>
      <c r="BO14" t="s">
        <v>124</v>
      </c>
      <c r="BP14" t="s">
        <v>125</v>
      </c>
      <c r="BQ14" t="s">
        <v>147</v>
      </c>
      <c r="BR14" t="s">
        <v>147</v>
      </c>
      <c r="BS14" t="s">
        <v>149</v>
      </c>
      <c r="BX14" t="s">
        <v>127</v>
      </c>
      <c r="BY14" t="s">
        <v>128</v>
      </c>
      <c r="BZ14" t="s">
        <v>152</v>
      </c>
      <c r="CA14" t="s">
        <v>147</v>
      </c>
      <c r="CB14" s="7">
        <v>15.6</v>
      </c>
      <c r="CC14">
        <v>15</v>
      </c>
      <c r="CD14" s="7">
        <v>4</v>
      </c>
      <c r="CE14" s="7">
        <v>223.13</v>
      </c>
      <c r="CF14" s="7">
        <v>112.06</v>
      </c>
      <c r="CG14" s="7">
        <f t="shared" si="1"/>
        <v>111.07</v>
      </c>
      <c r="CH14" s="7">
        <v>45.39</v>
      </c>
      <c r="CI14" s="7">
        <v>29.95</v>
      </c>
      <c r="CJ14" s="7">
        <v>21.32</v>
      </c>
      <c r="CK14" s="6">
        <v>45938.4375</v>
      </c>
      <c r="CL14" t="s">
        <v>5</v>
      </c>
      <c r="CN14" t="s">
        <v>129</v>
      </c>
    </row>
    <row r="15" spans="1:92">
      <c r="A15" t="s">
        <v>153</v>
      </c>
      <c r="B15" s="6">
        <v>45939.416666666701</v>
      </c>
      <c r="C15" s="7">
        <v>70</v>
      </c>
      <c r="D15" s="7">
        <v>15</v>
      </c>
      <c r="E15" s="7">
        <v>1082</v>
      </c>
      <c r="F15" s="7">
        <v>67.599999999999994</v>
      </c>
      <c r="H15" s="7">
        <v>93.06</v>
      </c>
      <c r="I15" s="7">
        <f t="shared" si="0"/>
        <v>105.19999999999999</v>
      </c>
      <c r="J15" s="7">
        <v>23</v>
      </c>
      <c r="K15" s="7">
        <v>175</v>
      </c>
      <c r="L15" s="7">
        <v>166</v>
      </c>
      <c r="M15" s="7">
        <v>3.09</v>
      </c>
      <c r="N15" s="7">
        <v>66</v>
      </c>
      <c r="Q15" s="7"/>
      <c r="R15">
        <v>4</v>
      </c>
      <c r="AA15" t="s">
        <v>147</v>
      </c>
      <c r="AB15" s="6">
        <v>45939.416666666701</v>
      </c>
      <c r="AC15" t="s">
        <v>114</v>
      </c>
      <c r="AD15" t="s">
        <v>115</v>
      </c>
      <c r="AE15" t="s">
        <v>116</v>
      </c>
      <c r="AF15">
        <v>15</v>
      </c>
      <c r="AG15" t="s">
        <v>148</v>
      </c>
      <c r="AH15">
        <v>4</v>
      </c>
      <c r="AJ15" t="s">
        <v>118</v>
      </c>
      <c r="AK15" s="7">
        <v>20</v>
      </c>
      <c r="AN15">
        <v>54.76</v>
      </c>
      <c r="AO15">
        <v>20.059999999999999</v>
      </c>
      <c r="AP15">
        <v>198.26</v>
      </c>
      <c r="AT15" t="s">
        <v>119</v>
      </c>
      <c r="AU15" t="s">
        <v>137</v>
      </c>
      <c r="AV15" t="s">
        <v>121</v>
      </c>
      <c r="AY15" t="s">
        <v>122</v>
      </c>
      <c r="AZ15" t="s">
        <v>123</v>
      </c>
      <c r="BO15" t="s">
        <v>124</v>
      </c>
      <c r="BP15" t="s">
        <v>125</v>
      </c>
      <c r="BQ15" t="s">
        <v>147</v>
      </c>
      <c r="BR15" t="s">
        <v>147</v>
      </c>
      <c r="BS15" t="s">
        <v>149</v>
      </c>
      <c r="BX15" t="s">
        <v>127</v>
      </c>
      <c r="BY15" t="s">
        <v>128</v>
      </c>
      <c r="BZ15" t="s">
        <v>153</v>
      </c>
      <c r="CA15" t="s">
        <v>147</v>
      </c>
      <c r="CB15" s="7">
        <v>15.8</v>
      </c>
      <c r="CC15">
        <v>15</v>
      </c>
      <c r="CD15" s="7">
        <v>4</v>
      </c>
      <c r="CE15" s="7">
        <v>198.26</v>
      </c>
      <c r="CF15" s="7">
        <v>93.06</v>
      </c>
      <c r="CG15" s="7">
        <f t="shared" si="1"/>
        <v>105.19999999999999</v>
      </c>
      <c r="CH15" s="7">
        <v>54.76</v>
      </c>
      <c r="CI15" s="7">
        <v>37.020000000000003</v>
      </c>
      <c r="CJ15" s="7">
        <v>20.059999999999999</v>
      </c>
      <c r="CK15" s="6">
        <v>45939.416666666701</v>
      </c>
      <c r="CL15" t="s">
        <v>5</v>
      </c>
      <c r="CN15" t="s">
        <v>129</v>
      </c>
    </row>
    <row r="16" spans="1:92">
      <c r="A16" t="s">
        <v>154</v>
      </c>
      <c r="B16" s="6">
        <v>45940.416666666701</v>
      </c>
      <c r="C16" s="7">
        <v>94</v>
      </c>
      <c r="D16" s="7">
        <v>15</v>
      </c>
      <c r="E16" s="7">
        <v>1068.4000000000001</v>
      </c>
      <c r="F16" s="7">
        <v>78.23</v>
      </c>
      <c r="H16" s="7">
        <v>59.38</v>
      </c>
      <c r="I16" s="7">
        <f t="shared" si="0"/>
        <v>74.02000000000001</v>
      </c>
      <c r="J16" s="7">
        <v>13</v>
      </c>
      <c r="K16" s="7">
        <v>61</v>
      </c>
      <c r="L16" s="7">
        <v>63</v>
      </c>
      <c r="M16" s="7">
        <v>3.5</v>
      </c>
      <c r="N16" s="7">
        <v>57</v>
      </c>
      <c r="Q16" s="7">
        <v>3.67</v>
      </c>
      <c r="R16">
        <v>4</v>
      </c>
      <c r="AA16" t="s">
        <v>147</v>
      </c>
      <c r="AB16" s="6">
        <v>45940.416666666701</v>
      </c>
      <c r="AC16" t="s">
        <v>114</v>
      </c>
      <c r="AD16" t="s">
        <v>115</v>
      </c>
      <c r="AE16" t="s">
        <v>116</v>
      </c>
      <c r="AF16">
        <v>15</v>
      </c>
      <c r="AG16" t="s">
        <v>148</v>
      </c>
      <c r="AH16">
        <v>4</v>
      </c>
      <c r="AJ16" t="s">
        <v>118</v>
      </c>
      <c r="AK16" s="7">
        <v>17</v>
      </c>
      <c r="AN16">
        <v>68.430000000000007</v>
      </c>
      <c r="AO16">
        <v>20.2</v>
      </c>
      <c r="AP16">
        <v>133.4</v>
      </c>
      <c r="AT16" t="s">
        <v>119</v>
      </c>
      <c r="AU16" t="s">
        <v>139</v>
      </c>
      <c r="AV16" t="s">
        <v>121</v>
      </c>
      <c r="AY16" t="s">
        <v>122</v>
      </c>
      <c r="AZ16" t="s">
        <v>123</v>
      </c>
      <c r="BO16" t="s">
        <v>124</v>
      </c>
      <c r="BP16" t="s">
        <v>125</v>
      </c>
      <c r="BQ16" t="s">
        <v>147</v>
      </c>
      <c r="BR16" t="s">
        <v>147</v>
      </c>
      <c r="BS16" t="s">
        <v>149</v>
      </c>
      <c r="BX16" t="s">
        <v>127</v>
      </c>
      <c r="BY16" t="s">
        <v>128</v>
      </c>
      <c r="BZ16" t="s">
        <v>154</v>
      </c>
      <c r="CA16" t="s">
        <v>147</v>
      </c>
      <c r="CB16" s="7">
        <v>16</v>
      </c>
      <c r="CC16">
        <v>15</v>
      </c>
      <c r="CD16" s="7">
        <v>4</v>
      </c>
      <c r="CE16" s="7">
        <v>133.4</v>
      </c>
      <c r="CF16" s="7">
        <v>59.38</v>
      </c>
      <c r="CG16" s="7">
        <f t="shared" si="1"/>
        <v>74.02000000000001</v>
      </c>
      <c r="CH16" s="7">
        <v>68.430000000000007</v>
      </c>
      <c r="CI16" s="7">
        <v>53.53</v>
      </c>
      <c r="CJ16" s="7">
        <v>20.2</v>
      </c>
      <c r="CK16" s="6">
        <v>45940.416666666701</v>
      </c>
      <c r="CL16" t="s">
        <v>5</v>
      </c>
      <c r="CN16" t="s">
        <v>129</v>
      </c>
    </row>
    <row r="17" spans="1:92">
      <c r="A17" t="s">
        <v>155</v>
      </c>
      <c r="B17" s="6">
        <v>45943.395833333299</v>
      </c>
      <c r="C17" s="7">
        <v>165.5</v>
      </c>
      <c r="D17" s="7">
        <v>15</v>
      </c>
      <c r="E17" s="7">
        <v>1030.4000000000001</v>
      </c>
      <c r="F17" s="7">
        <v>72.41</v>
      </c>
      <c r="H17" s="7">
        <v>25.65</v>
      </c>
      <c r="I17" s="7">
        <f t="shared" si="0"/>
        <v>59.919999999999995</v>
      </c>
      <c r="J17" s="7">
        <v>52</v>
      </c>
      <c r="K17" s="7">
        <v>23</v>
      </c>
      <c r="L17" s="7">
        <v>71</v>
      </c>
      <c r="M17" s="7">
        <v>6.55</v>
      </c>
      <c r="N17" s="7">
        <v>43</v>
      </c>
      <c r="Q17" s="7">
        <v>7.84</v>
      </c>
      <c r="R17">
        <v>4</v>
      </c>
      <c r="AA17" t="s">
        <v>147</v>
      </c>
      <c r="AB17" s="6">
        <v>45943.395833333299</v>
      </c>
      <c r="AC17" t="s">
        <v>114</v>
      </c>
      <c r="AD17" t="s">
        <v>115</v>
      </c>
      <c r="AE17" t="s">
        <v>116</v>
      </c>
      <c r="AF17">
        <v>15</v>
      </c>
      <c r="AG17" t="s">
        <v>148</v>
      </c>
      <c r="AH17">
        <v>4</v>
      </c>
      <c r="AJ17" t="s">
        <v>118</v>
      </c>
      <c r="AK17" s="7">
        <v>8</v>
      </c>
      <c r="AN17">
        <v>82.95</v>
      </c>
      <c r="AO17">
        <v>11.76</v>
      </c>
      <c r="AP17">
        <v>85.57</v>
      </c>
      <c r="AT17" t="s">
        <v>119</v>
      </c>
      <c r="AU17" t="s">
        <v>141</v>
      </c>
      <c r="AV17" t="s">
        <v>121</v>
      </c>
      <c r="AY17" t="s">
        <v>122</v>
      </c>
      <c r="AZ17" t="s">
        <v>123</v>
      </c>
      <c r="BO17" t="s">
        <v>124</v>
      </c>
      <c r="BP17" t="s">
        <v>125</v>
      </c>
      <c r="BQ17" t="s">
        <v>147</v>
      </c>
      <c r="BR17" t="s">
        <v>147</v>
      </c>
      <c r="BS17" t="s">
        <v>149</v>
      </c>
      <c r="BX17" t="s">
        <v>127</v>
      </c>
      <c r="BY17" t="s">
        <v>128</v>
      </c>
      <c r="BZ17" t="s">
        <v>155</v>
      </c>
      <c r="CA17" t="s">
        <v>147</v>
      </c>
      <c r="CB17" s="7">
        <v>17.8</v>
      </c>
      <c r="CC17">
        <v>15</v>
      </c>
      <c r="CD17" s="7">
        <v>4</v>
      </c>
      <c r="CE17" s="7">
        <v>85.57</v>
      </c>
      <c r="CF17" s="7">
        <v>25.65</v>
      </c>
      <c r="CG17" s="7">
        <f t="shared" si="1"/>
        <v>59.919999999999995</v>
      </c>
      <c r="CH17" s="7">
        <v>82.95</v>
      </c>
      <c r="CI17" s="7">
        <v>60.06</v>
      </c>
      <c r="CJ17" s="7">
        <v>11.76</v>
      </c>
      <c r="CK17" s="6">
        <v>45943.395833333299</v>
      </c>
      <c r="CL17" t="s">
        <v>5</v>
      </c>
      <c r="CN17" t="s">
        <v>129</v>
      </c>
    </row>
    <row r="18" spans="1:92">
      <c r="A18" t="s">
        <v>156</v>
      </c>
      <c r="B18" s="6">
        <v>45944.416666666701</v>
      </c>
      <c r="C18" s="7">
        <v>190</v>
      </c>
      <c r="D18" s="7">
        <v>15</v>
      </c>
      <c r="E18" s="7">
        <v>1022.2</v>
      </c>
      <c r="F18" s="7">
        <v>69.55</v>
      </c>
      <c r="H18" s="7">
        <v>15.65</v>
      </c>
      <c r="I18" s="7">
        <f t="shared" si="0"/>
        <v>50.440000000000005</v>
      </c>
      <c r="J18" s="7">
        <v>53</v>
      </c>
      <c r="K18" s="7">
        <v>15</v>
      </c>
      <c r="L18" s="7">
        <v>65</v>
      </c>
      <c r="M18" s="7">
        <v>6.74</v>
      </c>
      <c r="N18" s="7">
        <v>45</v>
      </c>
      <c r="Q18" s="7"/>
      <c r="R18">
        <v>4</v>
      </c>
      <c r="AA18" t="s">
        <v>147</v>
      </c>
      <c r="AB18" s="6">
        <v>45944.416666666701</v>
      </c>
      <c r="AC18" t="s">
        <v>114</v>
      </c>
      <c r="AD18" t="s">
        <v>115</v>
      </c>
      <c r="AE18" t="s">
        <v>116</v>
      </c>
      <c r="AF18">
        <v>15</v>
      </c>
      <c r="AG18" t="s">
        <v>148</v>
      </c>
      <c r="AH18">
        <v>4</v>
      </c>
      <c r="AJ18" t="s">
        <v>118</v>
      </c>
      <c r="AK18" s="7">
        <v>5.9</v>
      </c>
      <c r="AN18">
        <v>85.25</v>
      </c>
      <c r="AO18">
        <v>9.82</v>
      </c>
      <c r="AP18">
        <v>66.09</v>
      </c>
      <c r="AT18" t="s">
        <v>119</v>
      </c>
      <c r="AU18" t="s">
        <v>143</v>
      </c>
      <c r="AV18" t="s">
        <v>121</v>
      </c>
      <c r="AY18" t="s">
        <v>122</v>
      </c>
      <c r="AZ18" t="s">
        <v>123</v>
      </c>
      <c r="BO18" t="s">
        <v>124</v>
      </c>
      <c r="BP18" t="s">
        <v>125</v>
      </c>
      <c r="BQ18" t="s">
        <v>147</v>
      </c>
      <c r="BR18" t="s">
        <v>147</v>
      </c>
      <c r="BS18" t="s">
        <v>149</v>
      </c>
      <c r="BX18" t="s">
        <v>127</v>
      </c>
      <c r="BY18" t="s">
        <v>128</v>
      </c>
      <c r="BZ18" t="s">
        <v>156</v>
      </c>
      <c r="CA18" t="s">
        <v>147</v>
      </c>
      <c r="CB18" s="7">
        <v>16.5</v>
      </c>
      <c r="CC18">
        <v>15</v>
      </c>
      <c r="CD18" s="7">
        <v>4</v>
      </c>
      <c r="CE18" s="7">
        <v>66.09</v>
      </c>
      <c r="CF18" s="7">
        <v>15.65</v>
      </c>
      <c r="CG18" s="7">
        <f t="shared" si="1"/>
        <v>50.440000000000005</v>
      </c>
      <c r="CH18" s="7">
        <v>85.25</v>
      </c>
      <c r="CI18" s="7">
        <v>59.29</v>
      </c>
      <c r="CJ18" s="7">
        <v>9.82</v>
      </c>
      <c r="CK18" s="6">
        <v>45944.416666666701</v>
      </c>
      <c r="CL18" t="s">
        <v>5</v>
      </c>
      <c r="CN18" t="s">
        <v>129</v>
      </c>
    </row>
    <row r="19" spans="1:92">
      <c r="A19" t="s">
        <v>157</v>
      </c>
      <c r="B19" s="6">
        <v>45945.375</v>
      </c>
      <c r="C19" s="7">
        <v>213</v>
      </c>
      <c r="D19" s="7">
        <v>15</v>
      </c>
      <c r="E19" s="7">
        <v>1014.7</v>
      </c>
      <c r="F19" s="7">
        <v>69.760000000000005</v>
      </c>
      <c r="H19" s="7">
        <v>9.99</v>
      </c>
      <c r="I19" s="7">
        <f t="shared" si="0"/>
        <v>42.07</v>
      </c>
      <c r="J19" s="7">
        <v>51</v>
      </c>
      <c r="K19" s="7">
        <v>10</v>
      </c>
      <c r="L19" s="7">
        <v>60</v>
      </c>
      <c r="M19" s="7">
        <v>6.91</v>
      </c>
      <c r="N19" s="7">
        <v>26</v>
      </c>
      <c r="Q19" s="7">
        <v>10.64</v>
      </c>
      <c r="R19">
        <v>4</v>
      </c>
      <c r="AA19" t="s">
        <v>147</v>
      </c>
      <c r="AB19" s="6">
        <v>45945.375</v>
      </c>
      <c r="AC19" t="s">
        <v>114</v>
      </c>
      <c r="AD19" t="s">
        <v>115</v>
      </c>
      <c r="AE19" t="s">
        <v>116</v>
      </c>
      <c r="AF19">
        <v>15</v>
      </c>
      <c r="AG19" t="s">
        <v>148</v>
      </c>
      <c r="AH19">
        <v>4</v>
      </c>
      <c r="AJ19" t="s">
        <v>118</v>
      </c>
      <c r="AK19" s="7">
        <v>4.0999999999999996</v>
      </c>
      <c r="AN19">
        <v>78.73</v>
      </c>
      <c r="AO19">
        <v>8.8800000000000008</v>
      </c>
      <c r="AP19">
        <v>52.06</v>
      </c>
      <c r="AT19" t="s">
        <v>119</v>
      </c>
      <c r="AU19" t="s">
        <v>145</v>
      </c>
      <c r="AV19" t="s">
        <v>121</v>
      </c>
      <c r="AY19" t="s">
        <v>122</v>
      </c>
      <c r="AZ19" t="s">
        <v>123</v>
      </c>
      <c r="BO19" t="s">
        <v>124</v>
      </c>
      <c r="BP19" t="s">
        <v>125</v>
      </c>
      <c r="BQ19" t="s">
        <v>147</v>
      </c>
      <c r="BR19" t="s">
        <v>147</v>
      </c>
      <c r="BS19" t="s">
        <v>149</v>
      </c>
      <c r="BX19" t="s">
        <v>127</v>
      </c>
      <c r="BY19" t="s">
        <v>128</v>
      </c>
      <c r="BZ19" t="s">
        <v>157</v>
      </c>
      <c r="CA19" t="s">
        <v>147</v>
      </c>
      <c r="CB19" s="7">
        <v>16.7</v>
      </c>
      <c r="CC19">
        <v>15</v>
      </c>
      <c r="CD19" s="7">
        <v>4</v>
      </c>
      <c r="CE19" s="7">
        <v>52.06</v>
      </c>
      <c r="CF19" s="7">
        <v>9.99</v>
      </c>
      <c r="CG19" s="7">
        <f t="shared" si="1"/>
        <v>42.07</v>
      </c>
      <c r="CH19" s="7">
        <v>78.73</v>
      </c>
      <c r="CI19" s="7">
        <v>54.92</v>
      </c>
      <c r="CJ19" s="7">
        <v>8.8800000000000008</v>
      </c>
      <c r="CK19" s="6">
        <v>45945.375</v>
      </c>
      <c r="CL19" t="s">
        <v>5</v>
      </c>
      <c r="CN19" t="s">
        <v>129</v>
      </c>
    </row>
    <row r="20" spans="1:92">
      <c r="A20" t="s">
        <v>158</v>
      </c>
      <c r="B20" s="6">
        <v>45936.5</v>
      </c>
      <c r="C20" s="7">
        <v>0</v>
      </c>
      <c r="D20" s="7">
        <v>23</v>
      </c>
      <c r="E20" s="7">
        <v>1095.4000000000001</v>
      </c>
      <c r="F20" s="7"/>
      <c r="H20" s="7">
        <v>120.89</v>
      </c>
      <c r="I20" s="7">
        <f t="shared" si="0"/>
        <v>114.19000000000001</v>
      </c>
      <c r="J20" s="7">
        <v>21</v>
      </c>
      <c r="K20" s="7">
        <v>263</v>
      </c>
      <c r="L20" s="7">
        <v>236</v>
      </c>
      <c r="M20" s="7">
        <v>0.38</v>
      </c>
      <c r="N20" s="7">
        <v>1</v>
      </c>
      <c r="Q20" s="7">
        <v>0</v>
      </c>
      <c r="R20">
        <v>1</v>
      </c>
      <c r="AA20" t="s">
        <v>159</v>
      </c>
      <c r="AB20" s="6">
        <v>45936.5</v>
      </c>
      <c r="AC20" t="s">
        <v>114</v>
      </c>
      <c r="AD20" t="s">
        <v>115</v>
      </c>
      <c r="AE20" t="s">
        <v>116</v>
      </c>
      <c r="AF20">
        <v>23</v>
      </c>
      <c r="AG20" t="s">
        <v>160</v>
      </c>
      <c r="AH20">
        <v>1</v>
      </c>
      <c r="AJ20" t="s">
        <v>118</v>
      </c>
      <c r="AK20" s="7">
        <v>23.1</v>
      </c>
      <c r="AN20">
        <v>15</v>
      </c>
      <c r="AP20">
        <v>235.08</v>
      </c>
      <c r="AT20" t="s">
        <v>119</v>
      </c>
      <c r="AU20" t="s">
        <v>120</v>
      </c>
      <c r="AV20" t="s">
        <v>121</v>
      </c>
      <c r="AY20" t="s">
        <v>122</v>
      </c>
      <c r="AZ20" t="s">
        <v>123</v>
      </c>
      <c r="BO20" t="s">
        <v>124</v>
      </c>
      <c r="BP20" t="s">
        <v>125</v>
      </c>
      <c r="BQ20" t="s">
        <v>159</v>
      </c>
      <c r="BR20" t="s">
        <v>159</v>
      </c>
      <c r="BS20" t="s">
        <v>161</v>
      </c>
      <c r="BX20" t="s">
        <v>127</v>
      </c>
      <c r="BY20" t="s">
        <v>128</v>
      </c>
      <c r="BZ20" t="s">
        <v>158</v>
      </c>
      <c r="CA20" t="s">
        <v>159</v>
      </c>
      <c r="CB20" s="7">
        <v>18.8</v>
      </c>
      <c r="CC20">
        <v>23</v>
      </c>
      <c r="CD20" s="7">
        <v>1</v>
      </c>
      <c r="CE20" s="7">
        <v>235.08</v>
      </c>
      <c r="CF20" s="7">
        <v>120.89</v>
      </c>
      <c r="CG20" s="7">
        <f t="shared" si="1"/>
        <v>114.19000000000001</v>
      </c>
      <c r="CH20" s="7">
        <v>15</v>
      </c>
      <c r="CI20" s="7"/>
      <c r="CJ20" s="7"/>
      <c r="CK20" s="6">
        <v>45936.5</v>
      </c>
      <c r="CL20" t="s">
        <v>5</v>
      </c>
      <c r="CN20" t="s">
        <v>129</v>
      </c>
    </row>
    <row r="21" spans="1:92">
      <c r="A21" t="s">
        <v>162</v>
      </c>
      <c r="B21" s="6">
        <v>45936.645833333299</v>
      </c>
      <c r="C21" s="7">
        <v>3.5</v>
      </c>
      <c r="D21" s="7">
        <v>23</v>
      </c>
      <c r="E21" s="7">
        <v>1093.5</v>
      </c>
      <c r="F21" s="7">
        <v>51.57</v>
      </c>
      <c r="H21" s="7">
        <v>117.57</v>
      </c>
      <c r="I21" s="7">
        <f t="shared" si="0"/>
        <v>115.11000000000001</v>
      </c>
      <c r="J21" s="7">
        <v>91</v>
      </c>
      <c r="K21" s="7">
        <v>244</v>
      </c>
      <c r="L21" s="7">
        <v>291</v>
      </c>
      <c r="M21" s="7">
        <v>0.54</v>
      </c>
      <c r="N21" s="7">
        <v>5</v>
      </c>
      <c r="Q21" s="7"/>
      <c r="R21">
        <v>1</v>
      </c>
      <c r="AA21" t="s">
        <v>159</v>
      </c>
      <c r="AB21" s="6">
        <v>45936.645833333299</v>
      </c>
      <c r="AC21" t="s">
        <v>114</v>
      </c>
      <c r="AD21" t="s">
        <v>115</v>
      </c>
      <c r="AE21" t="s">
        <v>116</v>
      </c>
      <c r="AF21">
        <v>23</v>
      </c>
      <c r="AG21" t="s">
        <v>160</v>
      </c>
      <c r="AH21">
        <v>1</v>
      </c>
      <c r="AJ21" t="s">
        <v>118</v>
      </c>
      <c r="AK21" s="7">
        <v>23</v>
      </c>
      <c r="AN21">
        <v>21.815000000000001</v>
      </c>
      <c r="AO21">
        <v>13.2</v>
      </c>
      <c r="AP21">
        <v>232.68</v>
      </c>
      <c r="AT21" t="s">
        <v>119</v>
      </c>
      <c r="AU21" t="s">
        <v>131</v>
      </c>
      <c r="AV21" t="s">
        <v>121</v>
      </c>
      <c r="AY21" t="s">
        <v>122</v>
      </c>
      <c r="AZ21" t="s">
        <v>123</v>
      </c>
      <c r="BO21" t="s">
        <v>124</v>
      </c>
      <c r="BP21" t="s">
        <v>125</v>
      </c>
      <c r="BQ21" t="s">
        <v>159</v>
      </c>
      <c r="BR21" t="s">
        <v>159</v>
      </c>
      <c r="BS21" t="s">
        <v>161</v>
      </c>
      <c r="BX21" t="s">
        <v>127</v>
      </c>
      <c r="BY21" t="s">
        <v>128</v>
      </c>
      <c r="BZ21" t="s">
        <v>162</v>
      </c>
      <c r="CA21" t="s">
        <v>159</v>
      </c>
      <c r="CB21" s="7">
        <v>23</v>
      </c>
      <c r="CC21">
        <v>23</v>
      </c>
      <c r="CD21" s="7">
        <v>1</v>
      </c>
      <c r="CE21" s="7">
        <v>232.68</v>
      </c>
      <c r="CF21" s="7">
        <v>117.57</v>
      </c>
      <c r="CG21" s="7">
        <f t="shared" si="1"/>
        <v>115.11000000000001</v>
      </c>
      <c r="CH21" s="7">
        <v>21.815000000000001</v>
      </c>
      <c r="CI21" s="7">
        <v>11.25</v>
      </c>
      <c r="CJ21" s="7">
        <v>13.2</v>
      </c>
      <c r="CK21" s="6">
        <v>45936.645833333299</v>
      </c>
      <c r="CL21" t="s">
        <v>5</v>
      </c>
      <c r="CN21" t="s">
        <v>129</v>
      </c>
    </row>
    <row r="22" spans="1:92">
      <c r="A22" t="s">
        <v>163</v>
      </c>
      <c r="B22" s="6">
        <v>45937.4375</v>
      </c>
      <c r="C22" s="7">
        <v>22.5</v>
      </c>
      <c r="D22" s="7">
        <v>23</v>
      </c>
      <c r="E22" s="7">
        <v>1082.5</v>
      </c>
      <c r="F22" s="7">
        <v>73.260000000000005</v>
      </c>
      <c r="H22" s="7">
        <v>98.16</v>
      </c>
      <c r="I22" s="7">
        <f t="shared" si="0"/>
        <v>105.15</v>
      </c>
      <c r="J22" s="7">
        <v>20</v>
      </c>
      <c r="K22" s="7">
        <v>166</v>
      </c>
      <c r="L22" s="7">
        <v>156</v>
      </c>
      <c r="M22" s="7">
        <v>2.63</v>
      </c>
      <c r="N22" s="7">
        <v>59</v>
      </c>
      <c r="Q22" s="7"/>
      <c r="R22">
        <v>1</v>
      </c>
      <c r="AA22" t="s">
        <v>159</v>
      </c>
      <c r="AB22" s="6">
        <v>45937.4375</v>
      </c>
      <c r="AC22" t="s">
        <v>114</v>
      </c>
      <c r="AD22" t="s">
        <v>115</v>
      </c>
      <c r="AE22" t="s">
        <v>116</v>
      </c>
      <c r="AF22">
        <v>23</v>
      </c>
      <c r="AG22" t="s">
        <v>160</v>
      </c>
      <c r="AH22">
        <v>1</v>
      </c>
      <c r="AJ22" t="s">
        <v>118</v>
      </c>
      <c r="AK22" s="7">
        <v>45797</v>
      </c>
      <c r="AN22">
        <v>55.15</v>
      </c>
      <c r="AO22">
        <v>17.97</v>
      </c>
      <c r="AP22">
        <v>203.31</v>
      </c>
      <c r="AT22" t="s">
        <v>119</v>
      </c>
      <c r="AU22" t="s">
        <v>133</v>
      </c>
      <c r="AV22" t="s">
        <v>121</v>
      </c>
      <c r="AY22" t="s">
        <v>122</v>
      </c>
      <c r="AZ22" t="s">
        <v>123</v>
      </c>
      <c r="BO22" t="s">
        <v>124</v>
      </c>
      <c r="BP22" t="s">
        <v>125</v>
      </c>
      <c r="BQ22" t="s">
        <v>159</v>
      </c>
      <c r="BR22" t="s">
        <v>159</v>
      </c>
      <c r="BS22" t="s">
        <v>161</v>
      </c>
      <c r="BX22" t="s">
        <v>127</v>
      </c>
      <c r="BY22" t="s">
        <v>128</v>
      </c>
      <c r="BZ22" t="s">
        <v>163</v>
      </c>
      <c r="CA22" t="s">
        <v>159</v>
      </c>
      <c r="CB22" s="7">
        <v>23</v>
      </c>
      <c r="CC22">
        <v>23</v>
      </c>
      <c r="CD22" s="7">
        <v>1</v>
      </c>
      <c r="CE22" s="7">
        <v>203.31</v>
      </c>
      <c r="CF22" s="7">
        <v>98.16</v>
      </c>
      <c r="CG22" s="7">
        <f t="shared" si="1"/>
        <v>105.15</v>
      </c>
      <c r="CH22" s="7">
        <v>55.15</v>
      </c>
      <c r="CI22" s="7">
        <v>20.2</v>
      </c>
      <c r="CJ22" s="7">
        <v>17.97</v>
      </c>
      <c r="CK22" s="6">
        <v>45937.4375</v>
      </c>
      <c r="CL22" t="s">
        <v>5</v>
      </c>
      <c r="CM22" t="s">
        <v>164</v>
      </c>
      <c r="CN22" t="s">
        <v>129</v>
      </c>
    </row>
    <row r="23" spans="1:92">
      <c r="A23" t="s">
        <v>165</v>
      </c>
      <c r="B23" s="6">
        <v>45938.4375</v>
      </c>
      <c r="C23" s="7">
        <v>46.5</v>
      </c>
      <c r="D23" s="7">
        <v>23</v>
      </c>
      <c r="E23" s="7">
        <v>1045.8</v>
      </c>
      <c r="F23" s="7">
        <v>75.12</v>
      </c>
      <c r="H23" s="7">
        <v>44.39</v>
      </c>
      <c r="I23" s="7">
        <f t="shared" si="0"/>
        <v>79.03</v>
      </c>
      <c r="J23" s="7">
        <v>33</v>
      </c>
      <c r="K23" s="7">
        <v>25</v>
      </c>
      <c r="L23" s="7">
        <v>53</v>
      </c>
      <c r="M23" s="7">
        <v>5.95</v>
      </c>
      <c r="N23" s="7">
        <v>65</v>
      </c>
      <c r="Q23" s="7"/>
      <c r="R23">
        <v>1</v>
      </c>
      <c r="AA23" t="s">
        <v>159</v>
      </c>
      <c r="AB23" s="6">
        <v>45938.4375</v>
      </c>
      <c r="AC23" t="s">
        <v>114</v>
      </c>
      <c r="AD23" t="s">
        <v>115</v>
      </c>
      <c r="AE23" t="s">
        <v>116</v>
      </c>
      <c r="AF23">
        <v>23</v>
      </c>
      <c r="AG23" t="s">
        <v>160</v>
      </c>
      <c r="AH23">
        <v>1</v>
      </c>
      <c r="AJ23" t="s">
        <v>118</v>
      </c>
      <c r="AK23" s="7">
        <v>12.1</v>
      </c>
      <c r="AN23">
        <v>82.1</v>
      </c>
      <c r="AO23">
        <v>13.38</v>
      </c>
      <c r="AP23">
        <v>123.42</v>
      </c>
      <c r="AT23" t="s">
        <v>119</v>
      </c>
      <c r="AU23" t="s">
        <v>135</v>
      </c>
      <c r="AV23" t="s">
        <v>121</v>
      </c>
      <c r="AY23" t="s">
        <v>122</v>
      </c>
      <c r="AZ23" t="s">
        <v>123</v>
      </c>
      <c r="BO23" t="s">
        <v>124</v>
      </c>
      <c r="BP23" t="s">
        <v>125</v>
      </c>
      <c r="BQ23" t="s">
        <v>159</v>
      </c>
      <c r="BR23" t="s">
        <v>159</v>
      </c>
      <c r="BS23" t="s">
        <v>161</v>
      </c>
      <c r="BX23" t="s">
        <v>127</v>
      </c>
      <c r="BY23" t="s">
        <v>128</v>
      </c>
      <c r="BZ23" t="s">
        <v>165</v>
      </c>
      <c r="CA23" t="s">
        <v>159</v>
      </c>
      <c r="CB23" s="7">
        <v>23.2</v>
      </c>
      <c r="CC23">
        <v>23</v>
      </c>
      <c r="CD23" s="7">
        <v>1</v>
      </c>
      <c r="CE23" s="7">
        <v>123.42</v>
      </c>
      <c r="CF23" s="7">
        <v>44.39</v>
      </c>
      <c r="CG23" s="7">
        <f t="shared" si="1"/>
        <v>79.03</v>
      </c>
      <c r="CH23" s="7">
        <v>82.1</v>
      </c>
      <c r="CI23" s="7">
        <v>61.67</v>
      </c>
      <c r="CJ23" s="7">
        <v>13.38</v>
      </c>
      <c r="CK23" s="6">
        <v>45938.4375</v>
      </c>
      <c r="CL23" t="s">
        <v>5</v>
      </c>
      <c r="CN23" t="s">
        <v>129</v>
      </c>
    </row>
    <row r="24" spans="1:92">
      <c r="A24" t="s">
        <v>166</v>
      </c>
      <c r="B24" s="6">
        <v>45939.416666666701</v>
      </c>
      <c r="C24" s="7">
        <v>70</v>
      </c>
      <c r="D24" s="7">
        <v>23</v>
      </c>
      <c r="E24" s="7">
        <v>1021.7</v>
      </c>
      <c r="F24" s="7">
        <v>73.14</v>
      </c>
      <c r="H24" s="7">
        <v>17.32</v>
      </c>
      <c r="I24" s="7">
        <f t="shared" si="0"/>
        <v>51.96</v>
      </c>
      <c r="J24" s="7">
        <v>33</v>
      </c>
      <c r="K24" s="7">
        <v>1E-4</v>
      </c>
      <c r="L24" s="7">
        <v>31</v>
      </c>
      <c r="M24" s="7">
        <v>6.8</v>
      </c>
      <c r="N24" s="7">
        <v>45</v>
      </c>
      <c r="Q24" s="7"/>
      <c r="R24">
        <v>1</v>
      </c>
      <c r="AA24" t="s">
        <v>159</v>
      </c>
      <c r="AB24" s="6">
        <v>45939.416666666701</v>
      </c>
      <c r="AC24" t="s">
        <v>114</v>
      </c>
      <c r="AD24" t="s">
        <v>115</v>
      </c>
      <c r="AE24" t="s">
        <v>116</v>
      </c>
      <c r="AF24">
        <v>23</v>
      </c>
      <c r="AG24" t="s">
        <v>160</v>
      </c>
      <c r="AH24">
        <v>1</v>
      </c>
      <c r="AJ24" t="s">
        <v>118</v>
      </c>
      <c r="AK24" s="7">
        <v>6.2</v>
      </c>
      <c r="AN24">
        <v>91.78</v>
      </c>
      <c r="AO24">
        <v>12.05</v>
      </c>
      <c r="AP24">
        <v>69.28</v>
      </c>
      <c r="AT24" t="s">
        <v>119</v>
      </c>
      <c r="AU24" t="s">
        <v>137</v>
      </c>
      <c r="AV24" t="s">
        <v>121</v>
      </c>
      <c r="AY24" t="s">
        <v>122</v>
      </c>
      <c r="AZ24" t="s">
        <v>123</v>
      </c>
      <c r="BO24" t="s">
        <v>124</v>
      </c>
      <c r="BP24" t="s">
        <v>125</v>
      </c>
      <c r="BQ24" t="s">
        <v>159</v>
      </c>
      <c r="BR24" t="s">
        <v>159</v>
      </c>
      <c r="BS24" t="s">
        <v>161</v>
      </c>
      <c r="BX24" t="s">
        <v>127</v>
      </c>
      <c r="BY24" t="s">
        <v>128</v>
      </c>
      <c r="BZ24" t="s">
        <v>166</v>
      </c>
      <c r="CA24" t="s">
        <v>159</v>
      </c>
      <c r="CB24" s="7">
        <v>23.3</v>
      </c>
      <c r="CC24">
        <v>23</v>
      </c>
      <c r="CD24" s="7">
        <v>1</v>
      </c>
      <c r="CE24" s="7">
        <v>69.28</v>
      </c>
      <c r="CF24" s="7">
        <v>17.32</v>
      </c>
      <c r="CG24" s="7">
        <f t="shared" si="1"/>
        <v>51.96</v>
      </c>
      <c r="CH24" s="7">
        <v>91.78</v>
      </c>
      <c r="CI24" s="7">
        <v>67.13</v>
      </c>
      <c r="CJ24" s="7">
        <v>12.05</v>
      </c>
      <c r="CK24" s="6">
        <v>45939.416666666701</v>
      </c>
      <c r="CL24" t="s">
        <v>5</v>
      </c>
      <c r="CN24" t="s">
        <v>129</v>
      </c>
    </row>
    <row r="25" spans="1:92">
      <c r="A25" t="s">
        <v>167</v>
      </c>
      <c r="B25" s="6">
        <v>45940.416666666701</v>
      </c>
      <c r="C25" s="7">
        <v>94</v>
      </c>
      <c r="D25" s="7">
        <v>23</v>
      </c>
      <c r="E25" s="7">
        <v>1009.1</v>
      </c>
      <c r="F25" s="7">
        <v>65.84</v>
      </c>
      <c r="H25" s="7">
        <v>6.87</v>
      </c>
      <c r="I25" s="7">
        <f t="shared" si="0"/>
        <v>26.37</v>
      </c>
      <c r="J25" s="7">
        <v>23</v>
      </c>
      <c r="K25" s="7">
        <v>1E-4</v>
      </c>
      <c r="L25" s="7">
        <v>17</v>
      </c>
      <c r="M25" s="7">
        <v>5.64</v>
      </c>
      <c r="N25" s="7">
        <v>22</v>
      </c>
      <c r="Q25" s="7">
        <v>10.93</v>
      </c>
      <c r="R25">
        <v>1</v>
      </c>
      <c r="AA25" t="s">
        <v>159</v>
      </c>
      <c r="AB25" s="6">
        <v>45940.416666666701</v>
      </c>
      <c r="AC25" t="s">
        <v>114</v>
      </c>
      <c r="AD25" t="s">
        <v>115</v>
      </c>
      <c r="AE25" t="s">
        <v>116</v>
      </c>
      <c r="AF25">
        <v>23</v>
      </c>
      <c r="AG25" t="s">
        <v>160</v>
      </c>
      <c r="AH25">
        <v>1</v>
      </c>
      <c r="AJ25" t="s">
        <v>118</v>
      </c>
      <c r="AK25" s="7">
        <v>3</v>
      </c>
      <c r="AN25">
        <v>90.17</v>
      </c>
      <c r="AO25">
        <v>8.43</v>
      </c>
      <c r="AP25">
        <v>33.24</v>
      </c>
      <c r="AT25" t="s">
        <v>119</v>
      </c>
      <c r="AU25" t="s">
        <v>139</v>
      </c>
      <c r="AV25" t="s">
        <v>121</v>
      </c>
      <c r="AY25" t="s">
        <v>122</v>
      </c>
      <c r="AZ25" t="s">
        <v>123</v>
      </c>
      <c r="BO25" t="s">
        <v>124</v>
      </c>
      <c r="BP25" t="s">
        <v>125</v>
      </c>
      <c r="BQ25" t="s">
        <v>159</v>
      </c>
      <c r="BR25" t="s">
        <v>159</v>
      </c>
      <c r="BS25" t="s">
        <v>161</v>
      </c>
      <c r="BX25" t="s">
        <v>127</v>
      </c>
      <c r="BY25" t="s">
        <v>128</v>
      </c>
      <c r="BZ25" t="s">
        <v>167</v>
      </c>
      <c r="CA25" t="s">
        <v>159</v>
      </c>
      <c r="CB25" s="7">
        <v>23.1</v>
      </c>
      <c r="CC25">
        <v>23</v>
      </c>
      <c r="CD25" s="7">
        <v>1</v>
      </c>
      <c r="CE25" s="7">
        <v>33.24</v>
      </c>
      <c r="CF25" s="7">
        <v>6.87</v>
      </c>
      <c r="CG25" s="7">
        <f t="shared" si="1"/>
        <v>26.37</v>
      </c>
      <c r="CH25" s="7">
        <v>90.17</v>
      </c>
      <c r="CI25" s="7">
        <v>59.37</v>
      </c>
      <c r="CJ25" s="7">
        <v>8.43</v>
      </c>
      <c r="CK25" s="6">
        <v>45940.416666666701</v>
      </c>
      <c r="CL25" t="s">
        <v>5</v>
      </c>
      <c r="CN25" t="s">
        <v>129</v>
      </c>
    </row>
    <row r="26" spans="1:92">
      <c r="A26" t="s">
        <v>168</v>
      </c>
      <c r="B26" s="6">
        <v>45943.395833333299</v>
      </c>
      <c r="C26" s="7">
        <v>165.5</v>
      </c>
      <c r="D26" s="7">
        <v>23</v>
      </c>
      <c r="E26" s="7">
        <v>990.9</v>
      </c>
      <c r="F26" s="7">
        <v>58.96</v>
      </c>
      <c r="H26" s="7">
        <v>1.58</v>
      </c>
      <c r="I26" s="7">
        <f t="shared" si="0"/>
        <v>1.56</v>
      </c>
      <c r="J26" s="7">
        <v>38</v>
      </c>
      <c r="K26" s="7">
        <v>1E-4</v>
      </c>
      <c r="L26" s="7">
        <v>26</v>
      </c>
      <c r="M26" s="7">
        <v>7.34</v>
      </c>
      <c r="N26" s="7">
        <v>22</v>
      </c>
      <c r="Q26" s="7">
        <v>13.64</v>
      </c>
      <c r="R26">
        <v>1</v>
      </c>
      <c r="AA26" t="s">
        <v>159</v>
      </c>
      <c r="AB26" s="6">
        <v>45943.395833333299</v>
      </c>
      <c r="AC26" t="s">
        <v>114</v>
      </c>
      <c r="AD26" t="s">
        <v>115</v>
      </c>
      <c r="AE26" t="s">
        <v>116</v>
      </c>
      <c r="AF26">
        <v>23</v>
      </c>
      <c r="AG26" t="s">
        <v>160</v>
      </c>
      <c r="AH26">
        <v>1</v>
      </c>
      <c r="AJ26" t="s">
        <v>118</v>
      </c>
      <c r="AK26" s="7">
        <v>-1.7</v>
      </c>
      <c r="AN26">
        <v>78.03</v>
      </c>
      <c r="AO26">
        <v>9.06</v>
      </c>
      <c r="AP26">
        <v>3.14</v>
      </c>
      <c r="AT26" t="s">
        <v>119</v>
      </c>
      <c r="AU26" t="s">
        <v>141</v>
      </c>
      <c r="AV26" t="s">
        <v>121</v>
      </c>
      <c r="AY26" t="s">
        <v>122</v>
      </c>
      <c r="AZ26" t="s">
        <v>123</v>
      </c>
      <c r="BO26" t="s">
        <v>124</v>
      </c>
      <c r="BP26" t="s">
        <v>125</v>
      </c>
      <c r="BQ26" t="s">
        <v>159</v>
      </c>
      <c r="BR26" t="s">
        <v>159</v>
      </c>
      <c r="BS26" t="s">
        <v>161</v>
      </c>
      <c r="BX26" t="s">
        <v>127</v>
      </c>
      <c r="BY26" t="s">
        <v>128</v>
      </c>
      <c r="BZ26" t="s">
        <v>168</v>
      </c>
      <c r="CA26" t="s">
        <v>159</v>
      </c>
      <c r="CB26" s="7">
        <v>23</v>
      </c>
      <c r="CC26">
        <v>23</v>
      </c>
      <c r="CD26" s="7">
        <v>1</v>
      </c>
      <c r="CE26" s="7">
        <v>3.14</v>
      </c>
      <c r="CF26" s="7">
        <v>1.58</v>
      </c>
      <c r="CG26" s="7">
        <f t="shared" si="1"/>
        <v>1.56</v>
      </c>
      <c r="CH26" s="7">
        <v>78.03</v>
      </c>
      <c r="CI26" s="7">
        <v>46.01</v>
      </c>
      <c r="CJ26" s="7">
        <v>9.06</v>
      </c>
      <c r="CK26" s="6">
        <v>45943.395833333299</v>
      </c>
      <c r="CL26" t="s">
        <v>5</v>
      </c>
      <c r="CN26" t="s">
        <v>129</v>
      </c>
    </row>
    <row r="27" spans="1:92">
      <c r="A27" t="s">
        <v>169</v>
      </c>
      <c r="B27" s="6">
        <v>45944.416666666701</v>
      </c>
      <c r="C27" s="7">
        <v>190</v>
      </c>
      <c r="D27" s="7">
        <v>23</v>
      </c>
      <c r="E27" s="7">
        <v>987.6</v>
      </c>
      <c r="F27" s="7">
        <v>53.96</v>
      </c>
      <c r="H27" s="7">
        <v>0.77</v>
      </c>
      <c r="I27" s="7">
        <f t="shared" si="0"/>
        <v>-0.76990000000000003</v>
      </c>
      <c r="J27" s="7">
        <v>36</v>
      </c>
      <c r="K27" s="7">
        <v>1E-4</v>
      </c>
      <c r="L27" s="7">
        <v>27</v>
      </c>
      <c r="M27" s="7">
        <v>7.52</v>
      </c>
      <c r="N27" s="7">
        <v>17</v>
      </c>
      <c r="Q27" s="7"/>
      <c r="R27">
        <v>1</v>
      </c>
      <c r="AA27" t="s">
        <v>159</v>
      </c>
      <c r="AB27" s="6">
        <v>45944.416666666701</v>
      </c>
      <c r="AC27" t="s">
        <v>114</v>
      </c>
      <c r="AD27" t="s">
        <v>115</v>
      </c>
      <c r="AE27" t="s">
        <v>116</v>
      </c>
      <c r="AF27">
        <v>23</v>
      </c>
      <c r="AG27" t="s">
        <v>160</v>
      </c>
      <c r="AH27">
        <v>1</v>
      </c>
      <c r="AJ27" t="s">
        <v>118</v>
      </c>
      <c r="AK27" s="7">
        <v>-2.6</v>
      </c>
      <c r="AN27">
        <v>80.569999999999993</v>
      </c>
      <c r="AO27">
        <v>7.91</v>
      </c>
      <c r="AP27">
        <v>1E-4</v>
      </c>
      <c r="AT27" t="s">
        <v>119</v>
      </c>
      <c r="AU27" t="s">
        <v>143</v>
      </c>
      <c r="AV27" t="s">
        <v>121</v>
      </c>
      <c r="AY27" t="s">
        <v>122</v>
      </c>
      <c r="AZ27" t="s">
        <v>123</v>
      </c>
      <c r="BO27" t="s">
        <v>124</v>
      </c>
      <c r="BP27" t="s">
        <v>125</v>
      </c>
      <c r="BQ27" t="s">
        <v>159</v>
      </c>
      <c r="BR27" t="s">
        <v>159</v>
      </c>
      <c r="BS27" t="s">
        <v>161</v>
      </c>
      <c r="BX27" t="s">
        <v>127</v>
      </c>
      <c r="BY27" t="s">
        <v>128</v>
      </c>
      <c r="BZ27" t="s">
        <v>169</v>
      </c>
      <c r="CA27" t="s">
        <v>159</v>
      </c>
      <c r="CB27" s="7">
        <v>23.5</v>
      </c>
      <c r="CC27">
        <v>23</v>
      </c>
      <c r="CD27" s="7">
        <v>1</v>
      </c>
      <c r="CE27" s="7">
        <v>1E-4</v>
      </c>
      <c r="CF27" s="7">
        <v>0.77</v>
      </c>
      <c r="CG27" s="7">
        <f t="shared" si="1"/>
        <v>-0.76990000000000003</v>
      </c>
      <c r="CH27" s="7">
        <v>80.569999999999993</v>
      </c>
      <c r="CI27" s="7">
        <v>43.47</v>
      </c>
      <c r="CJ27" s="7">
        <v>7.91</v>
      </c>
      <c r="CK27" s="6">
        <v>45944.416666666701</v>
      </c>
      <c r="CL27" t="s">
        <v>5</v>
      </c>
      <c r="CN27" t="s">
        <v>129</v>
      </c>
    </row>
    <row r="28" spans="1:92">
      <c r="A28" t="s">
        <v>170</v>
      </c>
      <c r="B28" s="6">
        <v>45945.375</v>
      </c>
      <c r="C28" s="7">
        <v>213</v>
      </c>
      <c r="D28" s="7">
        <v>23</v>
      </c>
      <c r="E28" s="7">
        <v>989.8</v>
      </c>
      <c r="F28" s="7">
        <v>48.48</v>
      </c>
      <c r="H28" s="7">
        <v>1.1299999999999999</v>
      </c>
      <c r="I28" s="7">
        <f t="shared" si="0"/>
        <v>0.89000000000000012</v>
      </c>
      <c r="J28" s="7">
        <v>43</v>
      </c>
      <c r="K28" s="7">
        <v>1E-4</v>
      </c>
      <c r="L28" s="7">
        <v>34</v>
      </c>
      <c r="M28" s="7">
        <v>7.24</v>
      </c>
      <c r="N28" s="7">
        <v>9</v>
      </c>
      <c r="Q28" s="7">
        <v>14.02</v>
      </c>
      <c r="R28">
        <v>1</v>
      </c>
      <c r="AA28" t="s">
        <v>159</v>
      </c>
      <c r="AB28" s="6">
        <v>45945.375</v>
      </c>
      <c r="AC28" t="s">
        <v>114</v>
      </c>
      <c r="AD28" t="s">
        <v>115</v>
      </c>
      <c r="AE28" t="s">
        <v>116</v>
      </c>
      <c r="AF28">
        <v>23</v>
      </c>
      <c r="AG28" t="s">
        <v>160</v>
      </c>
      <c r="AH28">
        <v>1</v>
      </c>
      <c r="AJ28" t="s">
        <v>118</v>
      </c>
      <c r="AK28" s="7">
        <v>-2</v>
      </c>
      <c r="AN28">
        <v>80.95</v>
      </c>
      <c r="AO28">
        <v>12.33</v>
      </c>
      <c r="AP28">
        <v>2.02</v>
      </c>
      <c r="AT28" t="s">
        <v>119</v>
      </c>
      <c r="AU28" t="s">
        <v>145</v>
      </c>
      <c r="AV28" t="s">
        <v>121</v>
      </c>
      <c r="AY28" t="s">
        <v>122</v>
      </c>
      <c r="AZ28" t="s">
        <v>123</v>
      </c>
      <c r="BO28" t="s">
        <v>124</v>
      </c>
      <c r="BP28" t="s">
        <v>125</v>
      </c>
      <c r="BQ28" t="s">
        <v>159</v>
      </c>
      <c r="BR28" t="s">
        <v>159</v>
      </c>
      <c r="BS28" t="s">
        <v>161</v>
      </c>
      <c r="BX28" t="s">
        <v>127</v>
      </c>
      <c r="BY28" t="s">
        <v>128</v>
      </c>
      <c r="BZ28" t="s">
        <v>170</v>
      </c>
      <c r="CA28" t="s">
        <v>159</v>
      </c>
      <c r="CB28" s="7">
        <v>22.8</v>
      </c>
      <c r="CC28">
        <v>23</v>
      </c>
      <c r="CD28" s="7">
        <v>1</v>
      </c>
      <c r="CE28" s="7">
        <v>2.02</v>
      </c>
      <c r="CF28" s="7">
        <v>1.1299999999999999</v>
      </c>
      <c r="CG28" s="7">
        <f t="shared" si="1"/>
        <v>0.89000000000000012</v>
      </c>
      <c r="CH28" s="7">
        <v>80.95</v>
      </c>
      <c r="CI28" s="7">
        <v>39.25</v>
      </c>
      <c r="CJ28" s="7">
        <v>12.33</v>
      </c>
      <c r="CK28" s="6">
        <v>45945.375</v>
      </c>
      <c r="CL28" t="s">
        <v>5</v>
      </c>
      <c r="CN28" t="s">
        <v>129</v>
      </c>
    </row>
    <row r="29" spans="1:92">
      <c r="A29" t="s">
        <v>171</v>
      </c>
      <c r="B29" s="6">
        <v>45950.5</v>
      </c>
      <c r="C29" s="7">
        <v>0</v>
      </c>
      <c r="D29" s="7">
        <v>19</v>
      </c>
      <c r="E29" s="7">
        <v>1097.9000000000001</v>
      </c>
      <c r="F29" s="7"/>
      <c r="H29" s="7">
        <v>124.65</v>
      </c>
      <c r="I29" s="7">
        <f t="shared" si="0"/>
        <v>113.21000000000001</v>
      </c>
      <c r="J29" s="7">
        <v>21</v>
      </c>
      <c r="K29" s="7">
        <v>244</v>
      </c>
      <c r="L29" s="7">
        <v>221</v>
      </c>
      <c r="M29" s="7">
        <v>0.43</v>
      </c>
      <c r="N29" s="7">
        <v>9</v>
      </c>
      <c r="Q29" s="7">
        <v>0</v>
      </c>
      <c r="R29">
        <v>1</v>
      </c>
      <c r="AA29" t="s">
        <v>172</v>
      </c>
      <c r="AB29" s="6">
        <v>45950.5</v>
      </c>
      <c r="AC29" t="s">
        <v>114</v>
      </c>
      <c r="AD29" t="s">
        <v>115</v>
      </c>
      <c r="AE29" t="s">
        <v>116</v>
      </c>
      <c r="AF29">
        <v>19</v>
      </c>
      <c r="AG29" t="s">
        <v>173</v>
      </c>
      <c r="AH29">
        <v>1</v>
      </c>
      <c r="AJ29" t="s">
        <v>118</v>
      </c>
      <c r="AK29" s="7">
        <v>23.9</v>
      </c>
      <c r="AN29">
        <v>15</v>
      </c>
      <c r="AP29">
        <v>237.86</v>
      </c>
      <c r="AT29" t="s">
        <v>119</v>
      </c>
      <c r="AU29" t="s">
        <v>120</v>
      </c>
      <c r="AV29" t="s">
        <v>121</v>
      </c>
      <c r="AY29" t="s">
        <v>122</v>
      </c>
      <c r="AZ29" t="s">
        <v>123</v>
      </c>
      <c r="BO29" t="s">
        <v>124</v>
      </c>
      <c r="BP29" t="s">
        <v>125</v>
      </c>
      <c r="BQ29" t="s">
        <v>172</v>
      </c>
      <c r="BR29" t="s">
        <v>172</v>
      </c>
      <c r="BS29" t="s">
        <v>174</v>
      </c>
      <c r="BX29" t="s">
        <v>127</v>
      </c>
      <c r="BY29" t="s">
        <v>128</v>
      </c>
      <c r="BZ29" t="s">
        <v>171</v>
      </c>
      <c r="CA29" t="s">
        <v>172</v>
      </c>
      <c r="CB29" s="7">
        <v>20.2</v>
      </c>
      <c r="CC29">
        <v>19</v>
      </c>
      <c r="CD29" s="7">
        <v>1</v>
      </c>
      <c r="CE29" s="7">
        <v>237.86</v>
      </c>
      <c r="CF29" s="7">
        <v>124.65</v>
      </c>
      <c r="CG29" s="7">
        <f t="shared" si="1"/>
        <v>113.21000000000001</v>
      </c>
      <c r="CH29" s="7">
        <v>15</v>
      </c>
      <c r="CI29" s="7"/>
      <c r="CJ29" s="7"/>
      <c r="CK29" s="6">
        <v>45950.5</v>
      </c>
      <c r="CL29" t="s">
        <v>5</v>
      </c>
      <c r="CN29" t="s">
        <v>129</v>
      </c>
    </row>
    <row r="30" spans="1:92">
      <c r="A30" t="s">
        <v>175</v>
      </c>
      <c r="B30" s="6">
        <v>45950.625</v>
      </c>
      <c r="C30" s="7">
        <v>3</v>
      </c>
      <c r="D30" s="7">
        <v>19</v>
      </c>
      <c r="E30" s="7">
        <v>1097.8</v>
      </c>
      <c r="F30" s="7">
        <v>59.54</v>
      </c>
      <c r="H30" s="7">
        <v>125.78</v>
      </c>
      <c r="I30" s="7">
        <f t="shared" si="0"/>
        <v>111.53</v>
      </c>
      <c r="J30" s="7">
        <v>83</v>
      </c>
      <c r="K30" s="7">
        <v>229</v>
      </c>
      <c r="L30" s="7">
        <v>271</v>
      </c>
      <c r="M30" s="7">
        <v>0.59</v>
      </c>
      <c r="N30" s="7">
        <v>25</v>
      </c>
      <c r="Q30" s="7"/>
      <c r="R30">
        <v>1</v>
      </c>
      <c r="AA30" t="s">
        <v>172</v>
      </c>
      <c r="AB30" s="6">
        <v>45950.625</v>
      </c>
      <c r="AC30" t="s">
        <v>114</v>
      </c>
      <c r="AD30" t="s">
        <v>115</v>
      </c>
      <c r="AE30" t="s">
        <v>116</v>
      </c>
      <c r="AF30">
        <v>19</v>
      </c>
      <c r="AG30" t="s">
        <v>173</v>
      </c>
      <c r="AH30">
        <v>1</v>
      </c>
      <c r="AJ30" t="s">
        <v>118</v>
      </c>
      <c r="AK30" s="7">
        <v>23.8</v>
      </c>
      <c r="AN30">
        <v>31.414999999999999</v>
      </c>
      <c r="AO30">
        <v>17.11</v>
      </c>
      <c r="AP30">
        <v>237.31</v>
      </c>
      <c r="AT30" t="s">
        <v>119</v>
      </c>
      <c r="AU30" t="s">
        <v>131</v>
      </c>
      <c r="AV30" t="s">
        <v>121</v>
      </c>
      <c r="AY30" t="s">
        <v>122</v>
      </c>
      <c r="AZ30" t="s">
        <v>123</v>
      </c>
      <c r="BO30" t="s">
        <v>124</v>
      </c>
      <c r="BP30" t="s">
        <v>125</v>
      </c>
      <c r="BQ30" t="s">
        <v>172</v>
      </c>
      <c r="BR30" t="s">
        <v>172</v>
      </c>
      <c r="BS30" t="s">
        <v>174</v>
      </c>
      <c r="BX30" t="s">
        <v>127</v>
      </c>
      <c r="BY30" t="s">
        <v>128</v>
      </c>
      <c r="BZ30" t="s">
        <v>175</v>
      </c>
      <c r="CA30" t="s">
        <v>172</v>
      </c>
      <c r="CB30" s="7">
        <v>20.2</v>
      </c>
      <c r="CC30">
        <v>19</v>
      </c>
      <c r="CD30" s="7">
        <v>1</v>
      </c>
      <c r="CE30" s="7">
        <v>237.31</v>
      </c>
      <c r="CF30" s="7">
        <v>125.78</v>
      </c>
      <c r="CG30" s="7">
        <f t="shared" si="1"/>
        <v>111.53</v>
      </c>
      <c r="CH30" s="7">
        <v>31.414999999999999</v>
      </c>
      <c r="CI30" s="7">
        <v>18.7</v>
      </c>
      <c r="CJ30" s="7">
        <v>17.11</v>
      </c>
      <c r="CK30" s="6">
        <v>45950.625</v>
      </c>
      <c r="CL30" t="s">
        <v>5</v>
      </c>
      <c r="CN30" t="s">
        <v>129</v>
      </c>
    </row>
    <row r="31" spans="1:92">
      <c r="A31" t="s">
        <v>176</v>
      </c>
      <c r="B31" s="6">
        <v>45951.375</v>
      </c>
      <c r="C31" s="7">
        <v>21</v>
      </c>
      <c r="D31" s="7">
        <v>19</v>
      </c>
      <c r="E31" s="7">
        <v>1095</v>
      </c>
      <c r="F31" s="7">
        <v>50.81</v>
      </c>
      <c r="H31" s="7">
        <v>114.16</v>
      </c>
      <c r="I31" s="7">
        <f t="shared" si="0"/>
        <v>114.71000000000001</v>
      </c>
      <c r="J31" s="7">
        <v>57</v>
      </c>
      <c r="K31" s="7">
        <v>231</v>
      </c>
      <c r="L31" s="7">
        <v>246</v>
      </c>
      <c r="M31" s="7">
        <v>1.19</v>
      </c>
      <c r="N31" s="7">
        <v>29</v>
      </c>
      <c r="Q31" s="7"/>
      <c r="R31">
        <v>1</v>
      </c>
      <c r="AA31" t="s">
        <v>172</v>
      </c>
      <c r="AB31" s="6">
        <v>45951.375</v>
      </c>
      <c r="AC31" t="s">
        <v>114</v>
      </c>
      <c r="AD31" t="s">
        <v>115</v>
      </c>
      <c r="AE31" t="s">
        <v>116</v>
      </c>
      <c r="AF31">
        <v>19</v>
      </c>
      <c r="AG31" t="s">
        <v>173</v>
      </c>
      <c r="AH31">
        <v>1</v>
      </c>
      <c r="AJ31" t="s">
        <v>118</v>
      </c>
      <c r="AK31" s="7">
        <v>23.1</v>
      </c>
      <c r="AN31">
        <v>33.1</v>
      </c>
      <c r="AO31">
        <v>22.74</v>
      </c>
      <c r="AP31">
        <v>228.87</v>
      </c>
      <c r="AT31" t="s">
        <v>119</v>
      </c>
      <c r="AU31" t="s">
        <v>133</v>
      </c>
      <c r="AV31" t="s">
        <v>121</v>
      </c>
      <c r="AY31" t="s">
        <v>122</v>
      </c>
      <c r="AZ31" t="s">
        <v>123</v>
      </c>
      <c r="BO31" t="s">
        <v>124</v>
      </c>
      <c r="BP31" t="s">
        <v>125</v>
      </c>
      <c r="BQ31" t="s">
        <v>172</v>
      </c>
      <c r="BR31" t="s">
        <v>172</v>
      </c>
      <c r="BS31" t="s">
        <v>174</v>
      </c>
      <c r="BX31" t="s">
        <v>127</v>
      </c>
      <c r="BY31" t="s">
        <v>128</v>
      </c>
      <c r="BZ31" t="s">
        <v>176</v>
      </c>
      <c r="CA31" t="s">
        <v>172</v>
      </c>
      <c r="CB31" s="7">
        <v>19.100000000000001</v>
      </c>
      <c r="CC31">
        <v>19</v>
      </c>
      <c r="CD31" s="7">
        <v>1</v>
      </c>
      <c r="CE31" s="7">
        <v>228.87</v>
      </c>
      <c r="CF31" s="7">
        <v>114.16</v>
      </c>
      <c r="CG31" s="7">
        <f t="shared" si="1"/>
        <v>114.71000000000001</v>
      </c>
      <c r="CH31" s="7">
        <v>33.1</v>
      </c>
      <c r="CI31" s="7">
        <v>16.82</v>
      </c>
      <c r="CJ31" s="7">
        <v>22.74</v>
      </c>
      <c r="CK31" s="6">
        <v>45951.375</v>
      </c>
      <c r="CL31" t="s">
        <v>5</v>
      </c>
      <c r="CN31" t="s">
        <v>129</v>
      </c>
    </row>
    <row r="32" spans="1:92">
      <c r="A32" t="s">
        <v>177</v>
      </c>
      <c r="B32" s="6">
        <v>45952.416666666701</v>
      </c>
      <c r="C32" s="7">
        <v>46</v>
      </c>
      <c r="D32" s="7">
        <v>19</v>
      </c>
      <c r="E32" s="7">
        <v>1076.9000000000001</v>
      </c>
      <c r="F32" s="7">
        <v>64.06</v>
      </c>
      <c r="H32" s="7">
        <v>85.65</v>
      </c>
      <c r="I32" s="7">
        <f t="shared" si="0"/>
        <v>97.47</v>
      </c>
      <c r="J32" s="7">
        <v>44</v>
      </c>
      <c r="K32" s="7">
        <v>196</v>
      </c>
      <c r="L32" s="7">
        <v>204</v>
      </c>
      <c r="M32" s="7">
        <v>3.56</v>
      </c>
      <c r="N32" s="7">
        <v>80</v>
      </c>
      <c r="Q32" s="7"/>
      <c r="R32">
        <v>1</v>
      </c>
      <c r="AA32" t="s">
        <v>172</v>
      </c>
      <c r="AB32" s="6">
        <v>45952.416666666701</v>
      </c>
      <c r="AC32" t="s">
        <v>114</v>
      </c>
      <c r="AD32" t="s">
        <v>115</v>
      </c>
      <c r="AE32" t="s">
        <v>116</v>
      </c>
      <c r="AF32">
        <v>19</v>
      </c>
      <c r="AG32" t="s">
        <v>173</v>
      </c>
      <c r="AH32">
        <v>1</v>
      </c>
      <c r="AJ32" t="s">
        <v>118</v>
      </c>
      <c r="AK32" s="7">
        <v>19</v>
      </c>
      <c r="AN32">
        <v>64.75</v>
      </c>
      <c r="AO32">
        <v>23.37</v>
      </c>
      <c r="AP32">
        <v>183.12</v>
      </c>
      <c r="AT32" t="s">
        <v>119</v>
      </c>
      <c r="AU32" t="s">
        <v>135</v>
      </c>
      <c r="AV32" t="s">
        <v>121</v>
      </c>
      <c r="AY32" t="s">
        <v>122</v>
      </c>
      <c r="AZ32" t="s">
        <v>123</v>
      </c>
      <c r="BO32" t="s">
        <v>124</v>
      </c>
      <c r="BP32" t="s">
        <v>125</v>
      </c>
      <c r="BQ32" t="s">
        <v>172</v>
      </c>
      <c r="BR32" t="s">
        <v>172</v>
      </c>
      <c r="BS32" t="s">
        <v>174</v>
      </c>
      <c r="BX32" t="s">
        <v>127</v>
      </c>
      <c r="BY32" t="s">
        <v>128</v>
      </c>
      <c r="BZ32" t="s">
        <v>177</v>
      </c>
      <c r="CA32" t="s">
        <v>172</v>
      </c>
      <c r="CB32" s="7">
        <v>19.100000000000001</v>
      </c>
      <c r="CC32">
        <v>19</v>
      </c>
      <c r="CD32" s="7">
        <v>1</v>
      </c>
      <c r="CE32" s="7">
        <v>183.12</v>
      </c>
      <c r="CF32" s="7">
        <v>85.65</v>
      </c>
      <c r="CG32" s="7">
        <f t="shared" si="1"/>
        <v>97.47</v>
      </c>
      <c r="CH32" s="7">
        <v>64.75</v>
      </c>
      <c r="CI32" s="7">
        <v>41.47</v>
      </c>
      <c r="CJ32" s="7">
        <v>23.37</v>
      </c>
      <c r="CK32" s="6">
        <v>45952.416666666701</v>
      </c>
      <c r="CL32" t="s">
        <v>5</v>
      </c>
      <c r="CN32" t="s">
        <v>129</v>
      </c>
    </row>
    <row r="33" spans="1:92">
      <c r="A33" t="s">
        <v>178</v>
      </c>
      <c r="B33" s="6">
        <v>45953.4375</v>
      </c>
      <c r="C33" s="7">
        <v>70.5</v>
      </c>
      <c r="D33" s="7">
        <v>19</v>
      </c>
      <c r="E33" s="7">
        <v>1052.2</v>
      </c>
      <c r="F33" s="7">
        <v>67.14</v>
      </c>
      <c r="H33" s="7">
        <v>50.56</v>
      </c>
      <c r="I33" s="7">
        <f t="shared" si="0"/>
        <v>80.56</v>
      </c>
      <c r="J33" s="7">
        <v>39</v>
      </c>
      <c r="K33" s="7">
        <v>83</v>
      </c>
      <c r="L33" s="7">
        <v>107</v>
      </c>
      <c r="M33" s="7">
        <v>5.65</v>
      </c>
      <c r="N33" s="7">
        <v>67</v>
      </c>
      <c r="Q33" s="7"/>
      <c r="R33">
        <v>1</v>
      </c>
      <c r="AA33" t="s">
        <v>172</v>
      </c>
      <c r="AB33" s="6">
        <v>45953.4375</v>
      </c>
      <c r="AC33" t="s">
        <v>114</v>
      </c>
      <c r="AD33" t="s">
        <v>115</v>
      </c>
      <c r="AE33" t="s">
        <v>116</v>
      </c>
      <c r="AF33">
        <v>19</v>
      </c>
      <c r="AG33" t="s">
        <v>173</v>
      </c>
      <c r="AH33">
        <v>1</v>
      </c>
      <c r="AJ33" t="s">
        <v>118</v>
      </c>
      <c r="AK33" s="7">
        <v>13.3</v>
      </c>
      <c r="AN33">
        <v>70.81</v>
      </c>
      <c r="AO33">
        <v>16.16</v>
      </c>
      <c r="AP33">
        <v>131.12</v>
      </c>
      <c r="AT33" t="s">
        <v>119</v>
      </c>
      <c r="AU33" t="s">
        <v>137</v>
      </c>
      <c r="AV33" t="s">
        <v>121</v>
      </c>
      <c r="AY33" t="s">
        <v>122</v>
      </c>
      <c r="AZ33" t="s">
        <v>123</v>
      </c>
      <c r="BO33" t="s">
        <v>124</v>
      </c>
      <c r="BP33" t="s">
        <v>125</v>
      </c>
      <c r="BQ33" t="s">
        <v>172</v>
      </c>
      <c r="BR33" t="s">
        <v>172</v>
      </c>
      <c r="BS33" t="s">
        <v>174</v>
      </c>
      <c r="BX33" t="s">
        <v>127</v>
      </c>
      <c r="BY33" t="s">
        <v>128</v>
      </c>
      <c r="BZ33" t="s">
        <v>178</v>
      </c>
      <c r="CA33" t="s">
        <v>172</v>
      </c>
      <c r="CB33" s="7">
        <v>19.3</v>
      </c>
      <c r="CC33">
        <v>19</v>
      </c>
      <c r="CD33" s="7">
        <v>1</v>
      </c>
      <c r="CE33" s="7">
        <v>131.12</v>
      </c>
      <c r="CF33" s="7">
        <v>50.56</v>
      </c>
      <c r="CG33" s="7">
        <f t="shared" si="1"/>
        <v>80.56</v>
      </c>
      <c r="CH33" s="7">
        <v>70.81</v>
      </c>
      <c r="CI33" s="7">
        <v>47.54</v>
      </c>
      <c r="CJ33" s="7">
        <v>16.16</v>
      </c>
      <c r="CK33" s="6">
        <v>45953.4375</v>
      </c>
      <c r="CL33" t="s">
        <v>5</v>
      </c>
      <c r="CN33" t="s">
        <v>129</v>
      </c>
    </row>
    <row r="34" spans="1:92">
      <c r="A34" t="s">
        <v>179</v>
      </c>
      <c r="B34" s="6">
        <v>45954.395833333299</v>
      </c>
      <c r="C34" s="7">
        <v>93.5</v>
      </c>
      <c r="D34" s="7">
        <v>19</v>
      </c>
      <c r="E34" s="7">
        <v>1033.9000000000001</v>
      </c>
      <c r="F34" s="7">
        <v>65.5</v>
      </c>
      <c r="H34" s="7">
        <v>29.71</v>
      </c>
      <c r="I34" s="7">
        <f t="shared" ref="I34:I65" si="2">IF(OR(CE34="",CF34=""),"",CE34-CF34)</f>
        <v>64.039999999999992</v>
      </c>
      <c r="J34" s="7">
        <v>37</v>
      </c>
      <c r="K34" s="7">
        <v>35</v>
      </c>
      <c r="L34" s="7">
        <v>66</v>
      </c>
      <c r="M34" s="7">
        <v>6.54</v>
      </c>
      <c r="N34" s="7">
        <v>51</v>
      </c>
      <c r="Q34" s="7">
        <v>8.4</v>
      </c>
      <c r="R34">
        <v>1</v>
      </c>
      <c r="AA34" t="s">
        <v>172</v>
      </c>
      <c r="AB34" s="6">
        <v>45954.395833333299</v>
      </c>
      <c r="AC34" t="s">
        <v>114</v>
      </c>
      <c r="AD34" t="s">
        <v>115</v>
      </c>
      <c r="AE34" t="s">
        <v>116</v>
      </c>
      <c r="AF34">
        <v>19</v>
      </c>
      <c r="AG34" t="s">
        <v>173</v>
      </c>
      <c r="AH34">
        <v>1</v>
      </c>
      <c r="AJ34" t="s">
        <v>118</v>
      </c>
      <c r="AK34" s="7">
        <v>9</v>
      </c>
      <c r="AN34">
        <v>76.569999999999993</v>
      </c>
      <c r="AO34">
        <v>13.94</v>
      </c>
      <c r="AP34">
        <v>93.75</v>
      </c>
      <c r="AT34" t="s">
        <v>119</v>
      </c>
      <c r="AU34" t="s">
        <v>139</v>
      </c>
      <c r="AV34" t="s">
        <v>121</v>
      </c>
      <c r="AY34" t="s">
        <v>122</v>
      </c>
      <c r="AZ34" t="s">
        <v>123</v>
      </c>
      <c r="BO34" t="s">
        <v>124</v>
      </c>
      <c r="BP34" t="s">
        <v>125</v>
      </c>
      <c r="BQ34" t="s">
        <v>172</v>
      </c>
      <c r="BR34" t="s">
        <v>172</v>
      </c>
      <c r="BS34" t="s">
        <v>174</v>
      </c>
      <c r="BX34" t="s">
        <v>127</v>
      </c>
      <c r="BY34" t="s">
        <v>128</v>
      </c>
      <c r="BZ34" t="s">
        <v>179</v>
      </c>
      <c r="CA34" t="s">
        <v>172</v>
      </c>
      <c r="CB34" s="7">
        <v>20</v>
      </c>
      <c r="CC34">
        <v>19</v>
      </c>
      <c r="CD34" s="7">
        <v>1</v>
      </c>
      <c r="CE34" s="7">
        <v>93.75</v>
      </c>
      <c r="CF34" s="7">
        <v>29.71</v>
      </c>
      <c r="CG34" s="7">
        <f t="shared" ref="CG34:CG65" si="3">IF(OR(CE34="",CF34=""),"",CE34-CF34)</f>
        <v>64.039999999999992</v>
      </c>
      <c r="CH34" s="7">
        <v>76.569999999999993</v>
      </c>
      <c r="CI34" s="7">
        <v>50.15</v>
      </c>
      <c r="CJ34" s="7">
        <v>13.94</v>
      </c>
      <c r="CK34" s="6">
        <v>45954.395833333299</v>
      </c>
      <c r="CL34" t="s">
        <v>5</v>
      </c>
      <c r="CN34" t="s">
        <v>129</v>
      </c>
    </row>
    <row r="35" spans="1:92">
      <c r="A35" t="s">
        <v>180</v>
      </c>
      <c r="B35" s="6">
        <v>45957.416666666701</v>
      </c>
      <c r="C35" s="7">
        <v>166</v>
      </c>
      <c r="D35" s="7">
        <v>19</v>
      </c>
      <c r="E35" s="7">
        <v>1002.1</v>
      </c>
      <c r="F35" s="7">
        <v>72.95</v>
      </c>
      <c r="H35" s="7">
        <v>2.78</v>
      </c>
      <c r="I35" s="7">
        <f t="shared" si="2"/>
        <v>22.77</v>
      </c>
      <c r="J35" s="7">
        <v>34</v>
      </c>
      <c r="K35" s="7">
        <v>4</v>
      </c>
      <c r="L35" s="7">
        <v>37</v>
      </c>
      <c r="M35" s="7">
        <v>7.93</v>
      </c>
      <c r="N35" s="7">
        <v>17</v>
      </c>
      <c r="Q35" s="7">
        <v>12.6</v>
      </c>
      <c r="R35">
        <v>1</v>
      </c>
      <c r="AA35" t="s">
        <v>172</v>
      </c>
      <c r="AB35" s="6">
        <v>45957.416666666701</v>
      </c>
      <c r="AC35" t="s">
        <v>114</v>
      </c>
      <c r="AD35" t="s">
        <v>115</v>
      </c>
      <c r="AE35" t="s">
        <v>116</v>
      </c>
      <c r="AF35">
        <v>19</v>
      </c>
      <c r="AG35" t="s">
        <v>173</v>
      </c>
      <c r="AH35">
        <v>1</v>
      </c>
      <c r="AJ35" t="s">
        <v>118</v>
      </c>
      <c r="AK35" s="7">
        <v>1.1000000000000001</v>
      </c>
      <c r="AN35">
        <v>99.39</v>
      </c>
      <c r="AO35">
        <v>10.51</v>
      </c>
      <c r="AP35">
        <v>25.55</v>
      </c>
      <c r="AT35" t="s">
        <v>119</v>
      </c>
      <c r="AU35" t="s">
        <v>141</v>
      </c>
      <c r="AV35" t="s">
        <v>121</v>
      </c>
      <c r="AY35" t="s">
        <v>122</v>
      </c>
      <c r="AZ35" t="s">
        <v>123</v>
      </c>
      <c r="BO35" t="s">
        <v>124</v>
      </c>
      <c r="BP35" t="s">
        <v>125</v>
      </c>
      <c r="BQ35" t="s">
        <v>172</v>
      </c>
      <c r="BR35" t="s">
        <v>172</v>
      </c>
      <c r="BS35" t="s">
        <v>174</v>
      </c>
      <c r="BX35" t="s">
        <v>127</v>
      </c>
      <c r="BY35" t="s">
        <v>128</v>
      </c>
      <c r="BZ35" t="s">
        <v>180</v>
      </c>
      <c r="CA35" t="s">
        <v>172</v>
      </c>
      <c r="CB35" s="7">
        <v>20.6</v>
      </c>
      <c r="CC35">
        <v>19</v>
      </c>
      <c r="CD35" s="7">
        <v>1</v>
      </c>
      <c r="CE35" s="7">
        <v>25.55</v>
      </c>
      <c r="CF35" s="7">
        <v>2.78</v>
      </c>
      <c r="CG35" s="7">
        <f t="shared" si="3"/>
        <v>22.77</v>
      </c>
      <c r="CH35" s="7">
        <v>99.39</v>
      </c>
      <c r="CI35" s="7">
        <v>72.5</v>
      </c>
      <c r="CJ35" s="7">
        <v>10.51</v>
      </c>
      <c r="CK35" s="6">
        <v>45957.416666666701</v>
      </c>
      <c r="CL35" t="s">
        <v>5</v>
      </c>
      <c r="CN35" t="s">
        <v>129</v>
      </c>
    </row>
    <row r="36" spans="1:92">
      <c r="A36" t="s">
        <v>181</v>
      </c>
      <c r="B36" s="6">
        <v>45958.458333333299</v>
      </c>
      <c r="C36" s="7">
        <v>191</v>
      </c>
      <c r="D36" s="7">
        <v>19</v>
      </c>
      <c r="E36" s="7">
        <v>996.3</v>
      </c>
      <c r="F36" s="7">
        <v>64.23</v>
      </c>
      <c r="H36" s="7">
        <v>1.1000000000000001</v>
      </c>
      <c r="I36" s="7">
        <f t="shared" si="2"/>
        <v>11.360000000000001</v>
      </c>
      <c r="J36" s="7">
        <v>34</v>
      </c>
      <c r="K36" s="7">
        <v>2</v>
      </c>
      <c r="L36" s="7">
        <v>36</v>
      </c>
      <c r="M36" s="7">
        <v>7.46</v>
      </c>
      <c r="N36" s="7">
        <v>22</v>
      </c>
      <c r="Q36" s="7"/>
      <c r="R36">
        <v>1</v>
      </c>
      <c r="AA36" t="s">
        <v>172</v>
      </c>
      <c r="AB36" s="6">
        <v>45958.458333333299</v>
      </c>
      <c r="AC36" t="s">
        <v>114</v>
      </c>
      <c r="AD36" t="s">
        <v>115</v>
      </c>
      <c r="AE36" t="s">
        <v>116</v>
      </c>
      <c r="AF36">
        <v>19</v>
      </c>
      <c r="AG36" t="s">
        <v>173</v>
      </c>
      <c r="AH36">
        <v>1</v>
      </c>
      <c r="AJ36" t="s">
        <v>118</v>
      </c>
      <c r="AK36" s="7">
        <v>-0.5</v>
      </c>
      <c r="AN36">
        <v>80.95</v>
      </c>
      <c r="AO36">
        <v>10.25</v>
      </c>
      <c r="AP36">
        <v>12.46</v>
      </c>
      <c r="AT36" t="s">
        <v>119</v>
      </c>
      <c r="AU36" t="s">
        <v>143</v>
      </c>
      <c r="AV36" t="s">
        <v>121</v>
      </c>
      <c r="AY36" t="s">
        <v>122</v>
      </c>
      <c r="AZ36" t="s">
        <v>123</v>
      </c>
      <c r="BO36" t="s">
        <v>124</v>
      </c>
      <c r="BP36" t="s">
        <v>125</v>
      </c>
      <c r="BQ36" t="s">
        <v>172</v>
      </c>
      <c r="BR36" t="s">
        <v>172</v>
      </c>
      <c r="BS36" t="s">
        <v>174</v>
      </c>
      <c r="BX36" t="s">
        <v>127</v>
      </c>
      <c r="BY36" t="s">
        <v>128</v>
      </c>
      <c r="BZ36" t="s">
        <v>181</v>
      </c>
      <c r="CA36" t="s">
        <v>172</v>
      </c>
      <c r="CB36" s="7">
        <v>19.5</v>
      </c>
      <c r="CC36">
        <v>19</v>
      </c>
      <c r="CD36" s="7">
        <v>1</v>
      </c>
      <c r="CE36" s="7">
        <v>12.46</v>
      </c>
      <c r="CF36" s="7">
        <v>1.1000000000000001</v>
      </c>
      <c r="CG36" s="7">
        <f t="shared" si="3"/>
        <v>11.360000000000001</v>
      </c>
      <c r="CH36" s="7">
        <v>80.95</v>
      </c>
      <c r="CI36" s="7">
        <v>52</v>
      </c>
      <c r="CJ36" s="7">
        <v>10.25</v>
      </c>
      <c r="CK36" s="6">
        <v>45958.458333333299</v>
      </c>
      <c r="CL36" t="s">
        <v>5</v>
      </c>
      <c r="CN36" t="s">
        <v>129</v>
      </c>
    </row>
    <row r="37" spans="1:92">
      <c r="A37" t="s">
        <v>182</v>
      </c>
      <c r="B37" s="6">
        <v>45959.395833333299</v>
      </c>
      <c r="C37" s="7">
        <v>213.5</v>
      </c>
      <c r="D37" s="7">
        <v>19</v>
      </c>
      <c r="E37" s="7">
        <v>992</v>
      </c>
      <c r="F37" s="7">
        <v>71.540000000000006</v>
      </c>
      <c r="H37" s="7">
        <v>0.96</v>
      </c>
      <c r="I37" s="7">
        <f t="shared" si="2"/>
        <v>3.92</v>
      </c>
      <c r="J37" s="7"/>
      <c r="K37" s="7"/>
      <c r="L37" s="7"/>
      <c r="M37" s="7">
        <v>7.99</v>
      </c>
      <c r="N37" s="7">
        <v>1E-4</v>
      </c>
      <c r="Q37" s="7">
        <v>14.04</v>
      </c>
      <c r="R37">
        <v>1</v>
      </c>
      <c r="AA37" t="s">
        <v>172</v>
      </c>
      <c r="AB37" s="6">
        <v>45959.395833333299</v>
      </c>
      <c r="AC37" t="s">
        <v>114</v>
      </c>
      <c r="AD37" t="s">
        <v>115</v>
      </c>
      <c r="AE37" t="s">
        <v>116</v>
      </c>
      <c r="AF37">
        <v>19</v>
      </c>
      <c r="AG37" t="s">
        <v>173</v>
      </c>
      <c r="AH37">
        <v>1</v>
      </c>
      <c r="AJ37" t="s">
        <v>118</v>
      </c>
      <c r="AK37" s="7">
        <v>-1.6</v>
      </c>
      <c r="AN37">
        <v>112.52</v>
      </c>
      <c r="AO37">
        <v>15.02</v>
      </c>
      <c r="AP37">
        <v>4.88</v>
      </c>
      <c r="AT37" t="s">
        <v>119</v>
      </c>
      <c r="AU37" t="s">
        <v>145</v>
      </c>
      <c r="AV37" t="s">
        <v>121</v>
      </c>
      <c r="AY37" t="s">
        <v>122</v>
      </c>
      <c r="AZ37" t="s">
        <v>123</v>
      </c>
      <c r="BO37" t="s">
        <v>124</v>
      </c>
      <c r="BP37" t="s">
        <v>125</v>
      </c>
      <c r="BQ37" t="s">
        <v>172</v>
      </c>
      <c r="BR37" t="s">
        <v>172</v>
      </c>
      <c r="BS37" t="s">
        <v>174</v>
      </c>
      <c r="BX37" t="s">
        <v>127</v>
      </c>
      <c r="BY37" t="s">
        <v>128</v>
      </c>
      <c r="BZ37" t="s">
        <v>182</v>
      </c>
      <c r="CA37" t="s">
        <v>172</v>
      </c>
      <c r="CB37" s="7">
        <v>20.399999999999999</v>
      </c>
      <c r="CC37">
        <v>19</v>
      </c>
      <c r="CD37" s="7">
        <v>1</v>
      </c>
      <c r="CE37" s="7">
        <v>4.88</v>
      </c>
      <c r="CF37" s="7">
        <v>0.96</v>
      </c>
      <c r="CG37" s="7">
        <f t="shared" si="3"/>
        <v>3.92</v>
      </c>
      <c r="CH37" s="7">
        <v>112.52</v>
      </c>
      <c r="CI37" s="7">
        <v>80.489999999999995</v>
      </c>
      <c r="CJ37" s="7">
        <v>15.02</v>
      </c>
      <c r="CK37" s="6">
        <v>45959.395833333299</v>
      </c>
      <c r="CL37" t="s">
        <v>5</v>
      </c>
      <c r="CN37" t="s">
        <v>129</v>
      </c>
    </row>
    <row r="38" spans="1:92">
      <c r="A38" t="s">
        <v>183</v>
      </c>
      <c r="B38" s="6">
        <v>45950.5</v>
      </c>
      <c r="C38" s="7">
        <v>0</v>
      </c>
      <c r="D38" s="7">
        <v>19</v>
      </c>
      <c r="E38" s="7">
        <v>1097.2</v>
      </c>
      <c r="F38" s="7"/>
      <c r="H38" s="7">
        <v>123.57</v>
      </c>
      <c r="I38" s="7">
        <f t="shared" si="2"/>
        <v>119.77000000000001</v>
      </c>
      <c r="J38" s="7">
        <v>19</v>
      </c>
      <c r="K38" s="7">
        <v>242</v>
      </c>
      <c r="L38" s="7">
        <v>218</v>
      </c>
      <c r="M38" s="7">
        <v>0.8</v>
      </c>
      <c r="N38" s="7">
        <v>7</v>
      </c>
      <c r="Q38" s="7">
        <v>0</v>
      </c>
      <c r="R38">
        <v>4</v>
      </c>
      <c r="AA38" t="s">
        <v>184</v>
      </c>
      <c r="AB38" s="6">
        <v>45950.5</v>
      </c>
      <c r="AC38" t="s">
        <v>114</v>
      </c>
      <c r="AD38" t="s">
        <v>115</v>
      </c>
      <c r="AE38" t="s">
        <v>116</v>
      </c>
      <c r="AF38">
        <v>19</v>
      </c>
      <c r="AG38" t="s">
        <v>185</v>
      </c>
      <c r="AH38">
        <v>4</v>
      </c>
      <c r="AJ38" t="s">
        <v>118</v>
      </c>
      <c r="AK38" s="7">
        <v>23.7</v>
      </c>
      <c r="AN38">
        <v>20</v>
      </c>
      <c r="AP38">
        <v>243.34</v>
      </c>
      <c r="AT38" t="s">
        <v>119</v>
      </c>
      <c r="AU38" t="s">
        <v>120</v>
      </c>
      <c r="AV38" t="s">
        <v>121</v>
      </c>
      <c r="AY38" t="s">
        <v>122</v>
      </c>
      <c r="AZ38" t="s">
        <v>123</v>
      </c>
      <c r="BO38" t="s">
        <v>124</v>
      </c>
      <c r="BP38" t="s">
        <v>125</v>
      </c>
      <c r="BQ38" t="s">
        <v>184</v>
      </c>
      <c r="BR38" t="s">
        <v>184</v>
      </c>
      <c r="BS38" t="s">
        <v>186</v>
      </c>
      <c r="BX38" t="s">
        <v>127</v>
      </c>
      <c r="BY38" t="s">
        <v>128</v>
      </c>
      <c r="BZ38" t="s">
        <v>183</v>
      </c>
      <c r="CA38" t="s">
        <v>184</v>
      </c>
      <c r="CB38" s="7">
        <v>20.3</v>
      </c>
      <c r="CC38">
        <v>19</v>
      </c>
      <c r="CD38" s="7">
        <v>4</v>
      </c>
      <c r="CE38" s="7">
        <v>243.34</v>
      </c>
      <c r="CF38" s="7">
        <v>123.57</v>
      </c>
      <c r="CG38" s="7">
        <f t="shared" si="3"/>
        <v>119.77000000000001</v>
      </c>
      <c r="CH38" s="7">
        <v>20</v>
      </c>
      <c r="CI38" s="7"/>
      <c r="CJ38" s="7"/>
      <c r="CK38" s="6">
        <v>45950.5</v>
      </c>
      <c r="CL38" t="s">
        <v>5</v>
      </c>
      <c r="CN38" t="s">
        <v>129</v>
      </c>
    </row>
    <row r="39" spans="1:92">
      <c r="A39" t="s">
        <v>187</v>
      </c>
      <c r="B39" s="6">
        <v>45950.625</v>
      </c>
      <c r="C39" s="7">
        <v>3</v>
      </c>
      <c r="D39" s="7">
        <v>19</v>
      </c>
      <c r="E39" s="7">
        <v>1097.0999999999999</v>
      </c>
      <c r="F39" s="7">
        <v>51.94</v>
      </c>
      <c r="H39" s="7">
        <v>121</v>
      </c>
      <c r="I39" s="7">
        <f t="shared" si="2"/>
        <v>119.13999999999999</v>
      </c>
      <c r="J39" s="7">
        <v>85</v>
      </c>
      <c r="K39" s="7">
        <v>237</v>
      </c>
      <c r="L39" s="7">
        <v>279</v>
      </c>
      <c r="M39" s="7">
        <v>0.56000000000000005</v>
      </c>
      <c r="N39" s="7">
        <v>13</v>
      </c>
      <c r="Q39" s="7"/>
      <c r="R39">
        <v>4</v>
      </c>
      <c r="AA39" t="s">
        <v>184</v>
      </c>
      <c r="AB39" s="6">
        <v>45950.625</v>
      </c>
      <c r="AC39" t="s">
        <v>114</v>
      </c>
      <c r="AD39" t="s">
        <v>115</v>
      </c>
      <c r="AE39" t="s">
        <v>116</v>
      </c>
      <c r="AF39">
        <v>19</v>
      </c>
      <c r="AG39" t="s">
        <v>185</v>
      </c>
      <c r="AH39">
        <v>4</v>
      </c>
      <c r="AJ39" t="s">
        <v>118</v>
      </c>
      <c r="AK39" s="7">
        <v>23.6</v>
      </c>
      <c r="AN39">
        <v>23.734999999999999</v>
      </c>
      <c r="AO39">
        <v>13.27</v>
      </c>
      <c r="AP39">
        <v>240.14</v>
      </c>
      <c r="AT39" t="s">
        <v>119</v>
      </c>
      <c r="AU39" t="s">
        <v>131</v>
      </c>
      <c r="AV39" t="s">
        <v>121</v>
      </c>
      <c r="AY39" t="s">
        <v>122</v>
      </c>
      <c r="AZ39" t="s">
        <v>123</v>
      </c>
      <c r="BO39" t="s">
        <v>124</v>
      </c>
      <c r="BP39" t="s">
        <v>125</v>
      </c>
      <c r="BQ39" t="s">
        <v>184</v>
      </c>
      <c r="BR39" t="s">
        <v>184</v>
      </c>
      <c r="BS39" t="s">
        <v>186</v>
      </c>
      <c r="BX39" t="s">
        <v>127</v>
      </c>
      <c r="BY39" t="s">
        <v>128</v>
      </c>
      <c r="BZ39" t="s">
        <v>187</v>
      </c>
      <c r="CA39" t="s">
        <v>184</v>
      </c>
      <c r="CB39" s="7">
        <v>20.3</v>
      </c>
      <c r="CC39">
        <v>19</v>
      </c>
      <c r="CD39" s="7">
        <v>4</v>
      </c>
      <c r="CE39" s="7">
        <v>240.14</v>
      </c>
      <c r="CF39" s="7">
        <v>121</v>
      </c>
      <c r="CG39" s="7">
        <f t="shared" si="3"/>
        <v>119.13999999999999</v>
      </c>
      <c r="CH39" s="7">
        <v>23.734999999999999</v>
      </c>
      <c r="CI39" s="7">
        <v>12.324999999999999</v>
      </c>
      <c r="CJ39" s="7">
        <v>13.27</v>
      </c>
      <c r="CK39" s="6">
        <v>45950.625</v>
      </c>
      <c r="CL39" t="s">
        <v>5</v>
      </c>
      <c r="CN39" t="s">
        <v>129</v>
      </c>
    </row>
    <row r="40" spans="1:92">
      <c r="A40" t="s">
        <v>188</v>
      </c>
      <c r="B40" s="6">
        <v>45951.375</v>
      </c>
      <c r="C40" s="7">
        <v>21</v>
      </c>
      <c r="D40" s="7">
        <v>19</v>
      </c>
      <c r="E40" s="7">
        <v>1094.3</v>
      </c>
      <c r="F40" s="7">
        <v>46.3</v>
      </c>
      <c r="H40" s="7">
        <v>114.85</v>
      </c>
      <c r="I40" s="7">
        <f t="shared" si="2"/>
        <v>113.03999999999999</v>
      </c>
      <c r="J40" s="7">
        <v>57</v>
      </c>
      <c r="K40" s="7">
        <v>235</v>
      </c>
      <c r="L40" s="7">
        <v>250</v>
      </c>
      <c r="M40" s="7">
        <v>1.29</v>
      </c>
      <c r="N40" s="7">
        <v>26</v>
      </c>
      <c r="Q40" s="7"/>
      <c r="R40">
        <v>4</v>
      </c>
      <c r="AA40" t="s">
        <v>184</v>
      </c>
      <c r="AB40" s="6">
        <v>45951.375</v>
      </c>
      <c r="AC40" t="s">
        <v>114</v>
      </c>
      <c r="AD40" t="s">
        <v>115</v>
      </c>
      <c r="AE40" t="s">
        <v>116</v>
      </c>
      <c r="AF40">
        <v>19</v>
      </c>
      <c r="AG40" t="s">
        <v>185</v>
      </c>
      <c r="AH40">
        <v>4</v>
      </c>
      <c r="AJ40" t="s">
        <v>118</v>
      </c>
      <c r="AK40" s="7">
        <v>22.9</v>
      </c>
      <c r="AN40">
        <v>29.03</v>
      </c>
      <c r="AO40">
        <v>15.87</v>
      </c>
      <c r="AP40">
        <v>227.89</v>
      </c>
      <c r="AT40" t="s">
        <v>119</v>
      </c>
      <c r="AU40" t="s">
        <v>133</v>
      </c>
      <c r="AV40" t="s">
        <v>121</v>
      </c>
      <c r="AY40" t="s">
        <v>122</v>
      </c>
      <c r="AZ40" t="s">
        <v>123</v>
      </c>
      <c r="BO40" t="s">
        <v>124</v>
      </c>
      <c r="BP40" t="s">
        <v>125</v>
      </c>
      <c r="BQ40" t="s">
        <v>184</v>
      </c>
      <c r="BR40" t="s">
        <v>184</v>
      </c>
      <c r="BS40" t="s">
        <v>186</v>
      </c>
      <c r="BX40" t="s">
        <v>127</v>
      </c>
      <c r="BY40" t="s">
        <v>128</v>
      </c>
      <c r="BZ40" t="s">
        <v>188</v>
      </c>
      <c r="CA40" t="s">
        <v>184</v>
      </c>
      <c r="CB40" s="7">
        <v>19.100000000000001</v>
      </c>
      <c r="CC40">
        <v>19</v>
      </c>
      <c r="CD40" s="7">
        <v>4</v>
      </c>
      <c r="CE40" s="7">
        <v>227.89</v>
      </c>
      <c r="CF40" s="7">
        <v>114.85</v>
      </c>
      <c r="CG40" s="7">
        <f t="shared" si="3"/>
        <v>113.03999999999999</v>
      </c>
      <c r="CH40" s="7">
        <v>29.03</v>
      </c>
      <c r="CI40" s="7">
        <v>13.44</v>
      </c>
      <c r="CJ40" s="7">
        <v>15.87</v>
      </c>
      <c r="CK40" s="6">
        <v>45951.375</v>
      </c>
      <c r="CL40" t="s">
        <v>5</v>
      </c>
      <c r="CN40" t="s">
        <v>129</v>
      </c>
    </row>
    <row r="41" spans="1:92">
      <c r="A41" t="s">
        <v>189</v>
      </c>
      <c r="B41" s="6">
        <v>45952.416666666701</v>
      </c>
      <c r="C41" s="7">
        <v>46</v>
      </c>
      <c r="D41" s="7">
        <v>19</v>
      </c>
      <c r="E41" s="7">
        <v>1081.0999999999999</v>
      </c>
      <c r="F41" s="7">
        <v>65.569999999999993</v>
      </c>
      <c r="H41" s="7">
        <v>89.91</v>
      </c>
      <c r="I41" s="7">
        <f t="shared" si="2"/>
        <v>105.28999999999999</v>
      </c>
      <c r="J41" s="7">
        <v>23</v>
      </c>
      <c r="K41" s="7">
        <v>150</v>
      </c>
      <c r="L41" s="7">
        <v>146</v>
      </c>
      <c r="M41" s="7">
        <v>3.04</v>
      </c>
      <c r="N41" s="7">
        <v>82</v>
      </c>
      <c r="Q41" s="7"/>
      <c r="R41">
        <v>4</v>
      </c>
      <c r="AA41" t="s">
        <v>184</v>
      </c>
      <c r="AB41" s="6">
        <v>45952.416666666701</v>
      </c>
      <c r="AC41" t="s">
        <v>114</v>
      </c>
      <c r="AD41" t="s">
        <v>115</v>
      </c>
      <c r="AE41" t="s">
        <v>116</v>
      </c>
      <c r="AF41">
        <v>19</v>
      </c>
      <c r="AG41" t="s">
        <v>185</v>
      </c>
      <c r="AH41">
        <v>4</v>
      </c>
      <c r="AJ41" t="s">
        <v>118</v>
      </c>
      <c r="AK41" s="7">
        <v>20</v>
      </c>
      <c r="AN41">
        <v>44.39</v>
      </c>
      <c r="AO41">
        <v>14.36</v>
      </c>
      <c r="AP41">
        <v>195.2</v>
      </c>
      <c r="AT41" t="s">
        <v>119</v>
      </c>
      <c r="AU41" t="s">
        <v>135</v>
      </c>
      <c r="AV41" t="s">
        <v>121</v>
      </c>
      <c r="AY41" t="s">
        <v>122</v>
      </c>
      <c r="AZ41" t="s">
        <v>123</v>
      </c>
      <c r="BO41" t="s">
        <v>124</v>
      </c>
      <c r="BP41" t="s">
        <v>125</v>
      </c>
      <c r="BQ41" t="s">
        <v>184</v>
      </c>
      <c r="BR41" t="s">
        <v>184</v>
      </c>
      <c r="BS41" t="s">
        <v>186</v>
      </c>
      <c r="BX41" t="s">
        <v>127</v>
      </c>
      <c r="BY41" t="s">
        <v>128</v>
      </c>
      <c r="BZ41" t="s">
        <v>189</v>
      </c>
      <c r="CA41" t="s">
        <v>184</v>
      </c>
      <c r="CB41" s="7">
        <v>19.2</v>
      </c>
      <c r="CC41">
        <v>19</v>
      </c>
      <c r="CD41" s="7">
        <v>4</v>
      </c>
      <c r="CE41" s="7">
        <v>195.2</v>
      </c>
      <c r="CF41" s="7">
        <v>89.91</v>
      </c>
      <c r="CG41" s="7">
        <f t="shared" si="3"/>
        <v>105.28999999999999</v>
      </c>
      <c r="CH41" s="7">
        <v>44.39</v>
      </c>
      <c r="CI41" s="7">
        <v>29.11</v>
      </c>
      <c r="CJ41" s="7">
        <v>14.36</v>
      </c>
      <c r="CK41" s="6">
        <v>45952.416666666701</v>
      </c>
      <c r="CL41" t="s">
        <v>5</v>
      </c>
      <c r="CN41" t="s">
        <v>129</v>
      </c>
    </row>
    <row r="42" spans="1:92">
      <c r="A42" t="s">
        <v>190</v>
      </c>
      <c r="B42" s="6">
        <v>45953.4375</v>
      </c>
      <c r="C42" s="7">
        <v>70.5</v>
      </c>
      <c r="D42" s="7">
        <v>19</v>
      </c>
      <c r="E42" s="7">
        <v>1061.3</v>
      </c>
      <c r="F42" s="7">
        <v>71.58</v>
      </c>
      <c r="H42" s="7">
        <v>63.99</v>
      </c>
      <c r="I42" s="7">
        <f t="shared" si="2"/>
        <v>90.63</v>
      </c>
      <c r="J42" s="7">
        <v>17</v>
      </c>
      <c r="K42" s="7">
        <v>37</v>
      </c>
      <c r="L42" s="7">
        <v>48</v>
      </c>
      <c r="M42" s="7">
        <v>5.09</v>
      </c>
      <c r="N42" s="7">
        <v>81</v>
      </c>
      <c r="Q42" s="7"/>
      <c r="R42">
        <v>4</v>
      </c>
      <c r="AA42" t="s">
        <v>184</v>
      </c>
      <c r="AB42" s="6">
        <v>45953.4375</v>
      </c>
      <c r="AC42" t="s">
        <v>114</v>
      </c>
      <c r="AD42" t="s">
        <v>115</v>
      </c>
      <c r="AE42" t="s">
        <v>116</v>
      </c>
      <c r="AF42">
        <v>19</v>
      </c>
      <c r="AG42" t="s">
        <v>185</v>
      </c>
      <c r="AH42">
        <v>4</v>
      </c>
      <c r="AJ42" t="s">
        <v>118</v>
      </c>
      <c r="AK42" s="7">
        <v>15.5</v>
      </c>
      <c r="AN42">
        <v>63.52</v>
      </c>
      <c r="AO42">
        <v>13.42</v>
      </c>
      <c r="AP42">
        <v>154.62</v>
      </c>
      <c r="AT42" t="s">
        <v>119</v>
      </c>
      <c r="AU42" t="s">
        <v>137</v>
      </c>
      <c r="AV42" t="s">
        <v>121</v>
      </c>
      <c r="AY42" t="s">
        <v>122</v>
      </c>
      <c r="AZ42" t="s">
        <v>123</v>
      </c>
      <c r="BO42" t="s">
        <v>124</v>
      </c>
      <c r="BP42" t="s">
        <v>125</v>
      </c>
      <c r="BQ42" t="s">
        <v>184</v>
      </c>
      <c r="BR42" t="s">
        <v>184</v>
      </c>
      <c r="BS42" t="s">
        <v>186</v>
      </c>
      <c r="BX42" t="s">
        <v>127</v>
      </c>
      <c r="BY42" t="s">
        <v>128</v>
      </c>
      <c r="BZ42" t="s">
        <v>190</v>
      </c>
      <c r="CA42" t="s">
        <v>184</v>
      </c>
      <c r="CB42" s="7">
        <v>19.3</v>
      </c>
      <c r="CC42">
        <v>19</v>
      </c>
      <c r="CD42" s="7">
        <v>4</v>
      </c>
      <c r="CE42" s="7">
        <v>154.62</v>
      </c>
      <c r="CF42" s="7">
        <v>63.99</v>
      </c>
      <c r="CG42" s="7">
        <f t="shared" si="3"/>
        <v>90.63</v>
      </c>
      <c r="CH42" s="7">
        <v>63.52</v>
      </c>
      <c r="CI42" s="7">
        <v>45.47</v>
      </c>
      <c r="CJ42" s="7">
        <v>13.42</v>
      </c>
      <c r="CK42" s="6">
        <v>45953.4375</v>
      </c>
      <c r="CL42" t="s">
        <v>5</v>
      </c>
      <c r="CN42" t="s">
        <v>129</v>
      </c>
    </row>
    <row r="43" spans="1:92">
      <c r="A43" t="s">
        <v>191</v>
      </c>
      <c r="B43" s="6">
        <v>45954.395833333299</v>
      </c>
      <c r="C43" s="7">
        <v>93.5</v>
      </c>
      <c r="D43" s="7">
        <v>19</v>
      </c>
      <c r="E43" s="7">
        <v>1045</v>
      </c>
      <c r="F43" s="7">
        <v>74.44</v>
      </c>
      <c r="H43" s="7">
        <v>43.87</v>
      </c>
      <c r="I43" s="7">
        <f t="shared" si="2"/>
        <v>76.72999999999999</v>
      </c>
      <c r="J43" s="7">
        <v>21</v>
      </c>
      <c r="K43" s="7">
        <v>13</v>
      </c>
      <c r="L43" s="7">
        <v>32</v>
      </c>
      <c r="M43" s="7">
        <v>6.39</v>
      </c>
      <c r="N43" s="7">
        <v>61</v>
      </c>
      <c r="Q43" s="7">
        <v>6.92</v>
      </c>
      <c r="R43">
        <v>4</v>
      </c>
      <c r="AA43" t="s">
        <v>184</v>
      </c>
      <c r="AB43" s="6">
        <v>45954.395833333299</v>
      </c>
      <c r="AC43" t="s">
        <v>114</v>
      </c>
      <c r="AD43" t="s">
        <v>115</v>
      </c>
      <c r="AE43" t="s">
        <v>116</v>
      </c>
      <c r="AF43">
        <v>19</v>
      </c>
      <c r="AG43" t="s">
        <v>185</v>
      </c>
      <c r="AH43">
        <v>4</v>
      </c>
      <c r="AJ43" t="s">
        <v>118</v>
      </c>
      <c r="AK43" s="7">
        <v>11.7</v>
      </c>
      <c r="AN43">
        <v>61.9</v>
      </c>
      <c r="AO43">
        <v>13.52</v>
      </c>
      <c r="AP43">
        <v>120.6</v>
      </c>
      <c r="AT43" t="s">
        <v>119</v>
      </c>
      <c r="AU43" t="s">
        <v>139</v>
      </c>
      <c r="AV43" t="s">
        <v>121</v>
      </c>
      <c r="AY43" t="s">
        <v>122</v>
      </c>
      <c r="AZ43" t="s">
        <v>123</v>
      </c>
      <c r="BO43" t="s">
        <v>124</v>
      </c>
      <c r="BP43" t="s">
        <v>125</v>
      </c>
      <c r="BQ43" t="s">
        <v>184</v>
      </c>
      <c r="BR43" t="s">
        <v>184</v>
      </c>
      <c r="BS43" t="s">
        <v>186</v>
      </c>
      <c r="BX43" t="s">
        <v>127</v>
      </c>
      <c r="BY43" t="s">
        <v>128</v>
      </c>
      <c r="BZ43" t="s">
        <v>191</v>
      </c>
      <c r="CA43" t="s">
        <v>184</v>
      </c>
      <c r="CB43" s="7">
        <v>20</v>
      </c>
      <c r="CC43">
        <v>19</v>
      </c>
      <c r="CD43" s="7">
        <v>4</v>
      </c>
      <c r="CE43" s="7">
        <v>120.6</v>
      </c>
      <c r="CF43" s="7">
        <v>43.87</v>
      </c>
      <c r="CG43" s="7">
        <f t="shared" si="3"/>
        <v>76.72999999999999</v>
      </c>
      <c r="CH43" s="7">
        <v>61.9</v>
      </c>
      <c r="CI43" s="7">
        <v>46.08</v>
      </c>
      <c r="CJ43" s="7">
        <v>13.52</v>
      </c>
      <c r="CK43" s="6">
        <v>45954.395833333299</v>
      </c>
      <c r="CL43" t="s">
        <v>5</v>
      </c>
      <c r="CN43" t="s">
        <v>129</v>
      </c>
    </row>
    <row r="44" spans="1:92">
      <c r="A44" t="s">
        <v>192</v>
      </c>
      <c r="B44" s="6">
        <v>45957.416666666701</v>
      </c>
      <c r="C44" s="7">
        <v>166</v>
      </c>
      <c r="D44" s="7">
        <v>19</v>
      </c>
      <c r="E44" s="7">
        <v>1009.9</v>
      </c>
      <c r="F44" s="7">
        <v>69.34</v>
      </c>
      <c r="H44" s="7">
        <v>7.49</v>
      </c>
      <c r="I44" s="7">
        <f t="shared" si="2"/>
        <v>35.04</v>
      </c>
      <c r="J44" s="7">
        <v>69</v>
      </c>
      <c r="K44" s="7">
        <v>36</v>
      </c>
      <c r="L44" s="7">
        <v>98</v>
      </c>
      <c r="M44" s="7">
        <v>7.34</v>
      </c>
      <c r="N44" s="7">
        <v>30</v>
      </c>
      <c r="Q44" s="7">
        <v>11.4</v>
      </c>
      <c r="R44">
        <v>4</v>
      </c>
      <c r="AA44" t="s">
        <v>184</v>
      </c>
      <c r="AB44" s="6">
        <v>45957.416666666701</v>
      </c>
      <c r="AC44" t="s">
        <v>114</v>
      </c>
      <c r="AD44" t="s">
        <v>115</v>
      </c>
      <c r="AE44" t="s">
        <v>116</v>
      </c>
      <c r="AF44">
        <v>19</v>
      </c>
      <c r="AG44" t="s">
        <v>185</v>
      </c>
      <c r="AH44">
        <v>4</v>
      </c>
      <c r="AJ44" t="s">
        <v>118</v>
      </c>
      <c r="AK44" s="7">
        <v>3</v>
      </c>
      <c r="AN44">
        <v>113.98</v>
      </c>
      <c r="AO44">
        <v>13.27</v>
      </c>
      <c r="AP44">
        <v>42.53</v>
      </c>
      <c r="AT44" t="s">
        <v>119</v>
      </c>
      <c r="AU44" t="s">
        <v>141</v>
      </c>
      <c r="AV44" t="s">
        <v>121</v>
      </c>
      <c r="AY44" t="s">
        <v>122</v>
      </c>
      <c r="AZ44" t="s">
        <v>123</v>
      </c>
      <c r="BO44" t="s">
        <v>124</v>
      </c>
      <c r="BP44" t="s">
        <v>125</v>
      </c>
      <c r="BQ44" t="s">
        <v>184</v>
      </c>
      <c r="BR44" t="s">
        <v>184</v>
      </c>
      <c r="BS44" t="s">
        <v>186</v>
      </c>
      <c r="BX44" t="s">
        <v>127</v>
      </c>
      <c r="BY44" t="s">
        <v>128</v>
      </c>
      <c r="BZ44" t="s">
        <v>192</v>
      </c>
      <c r="CA44" t="s">
        <v>184</v>
      </c>
      <c r="CB44" s="7">
        <v>19.899999999999999</v>
      </c>
      <c r="CC44">
        <v>19</v>
      </c>
      <c r="CD44" s="7">
        <v>4</v>
      </c>
      <c r="CE44" s="7">
        <v>42.53</v>
      </c>
      <c r="CF44" s="7">
        <v>7.49</v>
      </c>
      <c r="CG44" s="7">
        <f t="shared" si="3"/>
        <v>35.04</v>
      </c>
      <c r="CH44" s="7">
        <v>113.98</v>
      </c>
      <c r="CI44" s="7">
        <v>79.03</v>
      </c>
      <c r="CJ44" s="7">
        <v>13.27</v>
      </c>
      <c r="CK44" s="6">
        <v>45957.416666666701</v>
      </c>
      <c r="CL44" t="s">
        <v>5</v>
      </c>
      <c r="CN44" t="s">
        <v>129</v>
      </c>
    </row>
    <row r="45" spans="1:92">
      <c r="A45" t="s">
        <v>193</v>
      </c>
      <c r="B45" s="6">
        <v>45958.458333333299</v>
      </c>
      <c r="C45" s="7">
        <v>191</v>
      </c>
      <c r="D45" s="7">
        <v>19</v>
      </c>
      <c r="E45" s="7">
        <v>1003</v>
      </c>
      <c r="F45" s="7">
        <v>69.290000000000006</v>
      </c>
      <c r="H45" s="7">
        <v>3.12</v>
      </c>
      <c r="I45" s="7">
        <f t="shared" si="2"/>
        <v>23.81</v>
      </c>
      <c r="J45" s="7">
        <v>71</v>
      </c>
      <c r="K45" s="7">
        <v>32</v>
      </c>
      <c r="L45" s="7">
        <v>97</v>
      </c>
      <c r="M45" s="7">
        <v>7.42</v>
      </c>
      <c r="N45" s="7">
        <v>28</v>
      </c>
      <c r="Q45" s="7"/>
      <c r="R45">
        <v>4</v>
      </c>
      <c r="AA45" t="s">
        <v>184</v>
      </c>
      <c r="AB45" s="6">
        <v>45958.458333333299</v>
      </c>
      <c r="AC45" t="s">
        <v>114</v>
      </c>
      <c r="AD45" t="s">
        <v>115</v>
      </c>
      <c r="AE45" t="s">
        <v>116</v>
      </c>
      <c r="AF45">
        <v>19</v>
      </c>
      <c r="AG45" t="s">
        <v>185</v>
      </c>
      <c r="AH45">
        <v>4</v>
      </c>
      <c r="AJ45" t="s">
        <v>118</v>
      </c>
      <c r="AK45" s="7">
        <v>1.2</v>
      </c>
      <c r="AN45">
        <v>82.03</v>
      </c>
      <c r="AO45">
        <v>8.61</v>
      </c>
      <c r="AP45">
        <v>26.93</v>
      </c>
      <c r="AT45" t="s">
        <v>119</v>
      </c>
      <c r="AU45" t="s">
        <v>143</v>
      </c>
      <c r="AV45" t="s">
        <v>121</v>
      </c>
      <c r="AY45" t="s">
        <v>122</v>
      </c>
      <c r="AZ45" t="s">
        <v>123</v>
      </c>
      <c r="BO45" t="s">
        <v>124</v>
      </c>
      <c r="BP45" t="s">
        <v>125</v>
      </c>
      <c r="BQ45" t="s">
        <v>184</v>
      </c>
      <c r="BR45" t="s">
        <v>184</v>
      </c>
      <c r="BS45" t="s">
        <v>186</v>
      </c>
      <c r="BX45" t="s">
        <v>127</v>
      </c>
      <c r="BY45" t="s">
        <v>128</v>
      </c>
      <c r="BZ45" t="s">
        <v>193</v>
      </c>
      <c r="CA45" t="s">
        <v>184</v>
      </c>
      <c r="CB45" s="7">
        <v>19.3</v>
      </c>
      <c r="CC45">
        <v>19</v>
      </c>
      <c r="CD45" s="7">
        <v>4</v>
      </c>
      <c r="CE45" s="7">
        <v>26.93</v>
      </c>
      <c r="CF45" s="7">
        <v>3.12</v>
      </c>
      <c r="CG45" s="7">
        <f t="shared" si="3"/>
        <v>23.81</v>
      </c>
      <c r="CH45" s="7">
        <v>82.03</v>
      </c>
      <c r="CI45" s="7">
        <v>56.84</v>
      </c>
      <c r="CJ45" s="7">
        <v>8.61</v>
      </c>
      <c r="CK45" s="6">
        <v>45958.458333333299</v>
      </c>
      <c r="CL45" t="s">
        <v>5</v>
      </c>
      <c r="CN45" t="s">
        <v>129</v>
      </c>
    </row>
    <row r="46" spans="1:92">
      <c r="A46" t="s">
        <v>194</v>
      </c>
      <c r="B46" s="6">
        <v>45959.395833333299</v>
      </c>
      <c r="C46" s="7">
        <v>213.5</v>
      </c>
      <c r="D46" s="7">
        <v>19</v>
      </c>
      <c r="E46" s="7">
        <v>996.4</v>
      </c>
      <c r="F46" s="7">
        <v>70.959999999999994</v>
      </c>
      <c r="H46" s="7">
        <v>2.48</v>
      </c>
      <c r="I46" s="7">
        <f t="shared" si="2"/>
        <v>11.799999999999999</v>
      </c>
      <c r="J46" s="7"/>
      <c r="K46" s="7"/>
      <c r="L46" s="7"/>
      <c r="M46" s="7">
        <v>7.93</v>
      </c>
      <c r="N46" s="7">
        <v>1E-4</v>
      </c>
      <c r="Q46" s="7">
        <v>13.35</v>
      </c>
      <c r="R46">
        <v>4</v>
      </c>
      <c r="AA46" t="s">
        <v>184</v>
      </c>
      <c r="AB46" s="6">
        <v>45959.395833333299</v>
      </c>
      <c r="AC46" t="s">
        <v>114</v>
      </c>
      <c r="AD46" t="s">
        <v>115</v>
      </c>
      <c r="AE46" t="s">
        <v>116</v>
      </c>
      <c r="AF46">
        <v>19</v>
      </c>
      <c r="AG46" t="s">
        <v>185</v>
      </c>
      <c r="AH46">
        <v>4</v>
      </c>
      <c r="AJ46" t="s">
        <v>118</v>
      </c>
      <c r="AK46" s="7">
        <v>-0.4</v>
      </c>
      <c r="AN46">
        <v>103.15</v>
      </c>
      <c r="AO46">
        <v>12.66</v>
      </c>
      <c r="AP46">
        <v>14.28</v>
      </c>
      <c r="AT46" t="s">
        <v>119</v>
      </c>
      <c r="AU46" t="s">
        <v>145</v>
      </c>
      <c r="AV46" t="s">
        <v>121</v>
      </c>
      <c r="AY46" t="s">
        <v>122</v>
      </c>
      <c r="AZ46" t="s">
        <v>123</v>
      </c>
      <c r="BO46" t="s">
        <v>124</v>
      </c>
      <c r="BP46" t="s">
        <v>125</v>
      </c>
      <c r="BQ46" t="s">
        <v>184</v>
      </c>
      <c r="BR46" t="s">
        <v>184</v>
      </c>
      <c r="BS46" t="s">
        <v>186</v>
      </c>
      <c r="BX46" t="s">
        <v>127</v>
      </c>
      <c r="BY46" t="s">
        <v>128</v>
      </c>
      <c r="BZ46" t="s">
        <v>194</v>
      </c>
      <c r="CA46" t="s">
        <v>184</v>
      </c>
      <c r="CB46" s="7">
        <v>20.3</v>
      </c>
      <c r="CC46">
        <v>19</v>
      </c>
      <c r="CD46" s="7">
        <v>4</v>
      </c>
      <c r="CE46" s="7">
        <v>14.28</v>
      </c>
      <c r="CF46" s="7">
        <v>2.48</v>
      </c>
      <c r="CG46" s="7">
        <f t="shared" si="3"/>
        <v>11.799999999999999</v>
      </c>
      <c r="CH46" s="7">
        <v>103.15</v>
      </c>
      <c r="CI46" s="7">
        <v>73.2</v>
      </c>
      <c r="CJ46" s="7">
        <v>12.66</v>
      </c>
      <c r="CK46" s="6">
        <v>45959.395833333299</v>
      </c>
      <c r="CL46" t="s">
        <v>5</v>
      </c>
      <c r="CN46" t="s">
        <v>129</v>
      </c>
    </row>
    <row r="47" spans="1:92">
      <c r="A47" t="s">
        <v>195</v>
      </c>
      <c r="B47" s="6">
        <v>45950.5</v>
      </c>
      <c r="C47" s="7">
        <v>0</v>
      </c>
      <c r="D47" s="7">
        <v>23</v>
      </c>
      <c r="E47" s="7">
        <v>1095.3</v>
      </c>
      <c r="F47" s="7"/>
      <c r="H47" s="7">
        <v>122.56</v>
      </c>
      <c r="I47" s="7">
        <f t="shared" si="2"/>
        <v>114.22999999999999</v>
      </c>
      <c r="J47" s="7">
        <v>22</v>
      </c>
      <c r="K47" s="7">
        <v>244</v>
      </c>
      <c r="L47" s="7">
        <v>223</v>
      </c>
      <c r="M47" s="7">
        <v>0.66</v>
      </c>
      <c r="N47" s="7">
        <v>1</v>
      </c>
      <c r="Q47" s="7">
        <v>0</v>
      </c>
      <c r="R47">
        <v>4</v>
      </c>
      <c r="AA47" t="s">
        <v>196</v>
      </c>
      <c r="AB47" s="6">
        <v>45950.5</v>
      </c>
      <c r="AC47" t="s">
        <v>114</v>
      </c>
      <c r="AD47" t="s">
        <v>115</v>
      </c>
      <c r="AE47" t="s">
        <v>116</v>
      </c>
      <c r="AF47">
        <v>23</v>
      </c>
      <c r="AG47" t="s">
        <v>197</v>
      </c>
      <c r="AH47">
        <v>4</v>
      </c>
      <c r="AJ47" t="s">
        <v>118</v>
      </c>
      <c r="AK47" s="7">
        <v>23.5</v>
      </c>
      <c r="AN47">
        <v>15</v>
      </c>
      <c r="AP47">
        <v>236.79</v>
      </c>
      <c r="AT47" t="s">
        <v>119</v>
      </c>
      <c r="AU47" t="s">
        <v>120</v>
      </c>
      <c r="AV47" t="s">
        <v>121</v>
      </c>
      <c r="AY47" t="s">
        <v>122</v>
      </c>
      <c r="AZ47" t="s">
        <v>123</v>
      </c>
      <c r="BO47" t="s">
        <v>124</v>
      </c>
      <c r="BP47" t="s">
        <v>125</v>
      </c>
      <c r="BQ47" t="s">
        <v>196</v>
      </c>
      <c r="BR47" t="s">
        <v>196</v>
      </c>
      <c r="BS47" t="s">
        <v>198</v>
      </c>
      <c r="BX47" t="s">
        <v>127</v>
      </c>
      <c r="BY47" t="s">
        <v>128</v>
      </c>
      <c r="BZ47" t="s">
        <v>195</v>
      </c>
      <c r="CA47" t="s">
        <v>196</v>
      </c>
      <c r="CB47" s="7">
        <v>23.6</v>
      </c>
      <c r="CC47">
        <v>23</v>
      </c>
      <c r="CD47" s="7">
        <v>4</v>
      </c>
      <c r="CE47" s="7">
        <v>236.79</v>
      </c>
      <c r="CF47" s="7">
        <v>122.56</v>
      </c>
      <c r="CG47" s="7">
        <f t="shared" si="3"/>
        <v>114.22999999999999</v>
      </c>
      <c r="CH47" s="7">
        <v>15</v>
      </c>
      <c r="CI47" s="7"/>
      <c r="CJ47" s="7"/>
      <c r="CK47" s="6">
        <v>45950.5</v>
      </c>
      <c r="CL47" t="s">
        <v>5</v>
      </c>
      <c r="CN47" t="s">
        <v>129</v>
      </c>
    </row>
    <row r="48" spans="1:92">
      <c r="A48" t="s">
        <v>199</v>
      </c>
      <c r="B48" s="6">
        <v>45950.625</v>
      </c>
      <c r="C48" s="7">
        <v>3</v>
      </c>
      <c r="D48" s="7">
        <v>23</v>
      </c>
      <c r="E48" s="7">
        <v>1095.2</v>
      </c>
      <c r="F48" s="7">
        <v>51.82</v>
      </c>
      <c r="H48" s="7">
        <v>118.27</v>
      </c>
      <c r="I48" s="7">
        <f t="shared" si="2"/>
        <v>116.08</v>
      </c>
      <c r="J48" s="7">
        <v>85</v>
      </c>
      <c r="K48" s="7">
        <v>230</v>
      </c>
      <c r="L48" s="7">
        <v>274</v>
      </c>
      <c r="M48" s="7">
        <v>0.14000000000000001</v>
      </c>
      <c r="N48" s="7">
        <v>3</v>
      </c>
      <c r="Q48" s="7"/>
      <c r="R48">
        <v>4</v>
      </c>
      <c r="AA48" t="s">
        <v>196</v>
      </c>
      <c r="AB48" s="6">
        <v>45950.625</v>
      </c>
      <c r="AC48" t="s">
        <v>114</v>
      </c>
      <c r="AD48" t="s">
        <v>115</v>
      </c>
      <c r="AE48" t="s">
        <v>116</v>
      </c>
      <c r="AF48">
        <v>23</v>
      </c>
      <c r="AG48" t="s">
        <v>197</v>
      </c>
      <c r="AH48">
        <v>4</v>
      </c>
      <c r="AJ48" t="s">
        <v>118</v>
      </c>
      <c r="AK48" s="7">
        <v>23.4</v>
      </c>
      <c r="AN48">
        <v>30.605</v>
      </c>
      <c r="AO48">
        <v>7.78</v>
      </c>
      <c r="AP48">
        <v>234.35</v>
      </c>
      <c r="AT48" t="s">
        <v>119</v>
      </c>
      <c r="AU48" t="s">
        <v>131</v>
      </c>
      <c r="AV48" t="s">
        <v>121</v>
      </c>
      <c r="AY48" t="s">
        <v>122</v>
      </c>
      <c r="AZ48" t="s">
        <v>123</v>
      </c>
      <c r="BO48" t="s">
        <v>124</v>
      </c>
      <c r="BP48" t="s">
        <v>125</v>
      </c>
      <c r="BQ48" t="s">
        <v>196</v>
      </c>
      <c r="BR48" t="s">
        <v>196</v>
      </c>
      <c r="BS48" t="s">
        <v>198</v>
      </c>
      <c r="BX48" t="s">
        <v>127</v>
      </c>
      <c r="BY48" t="s">
        <v>128</v>
      </c>
      <c r="BZ48" t="s">
        <v>199</v>
      </c>
      <c r="CA48" t="s">
        <v>196</v>
      </c>
      <c r="CB48" s="7">
        <v>23.6</v>
      </c>
      <c r="CC48">
        <v>23</v>
      </c>
      <c r="CD48" s="7">
        <v>4</v>
      </c>
      <c r="CE48" s="7">
        <v>234.35</v>
      </c>
      <c r="CF48" s="7">
        <v>118.27</v>
      </c>
      <c r="CG48" s="7">
        <f t="shared" si="3"/>
        <v>116.08</v>
      </c>
      <c r="CH48" s="7">
        <v>30.605</v>
      </c>
      <c r="CI48" s="7">
        <v>15.86</v>
      </c>
      <c r="CJ48" s="7">
        <v>7.78</v>
      </c>
      <c r="CK48" s="6">
        <v>45950.625</v>
      </c>
      <c r="CL48" t="s">
        <v>5</v>
      </c>
      <c r="CN48" t="s">
        <v>129</v>
      </c>
    </row>
    <row r="49" spans="1:92">
      <c r="A49" t="s">
        <v>200</v>
      </c>
      <c r="B49" s="6">
        <v>45951.375</v>
      </c>
      <c r="C49" s="7">
        <v>21</v>
      </c>
      <c r="D49" s="7">
        <v>23</v>
      </c>
      <c r="E49" s="7">
        <v>1085</v>
      </c>
      <c r="F49" s="7">
        <v>64.489999999999995</v>
      </c>
      <c r="H49" s="7">
        <v>101.07</v>
      </c>
      <c r="I49" s="7">
        <f t="shared" si="2"/>
        <v>104.25</v>
      </c>
      <c r="J49" s="7">
        <v>23</v>
      </c>
      <c r="K49" s="7">
        <v>173</v>
      </c>
      <c r="L49" s="7">
        <v>165</v>
      </c>
      <c r="M49" s="7">
        <v>1.69</v>
      </c>
      <c r="N49" s="7">
        <v>59</v>
      </c>
      <c r="Q49" s="7"/>
      <c r="R49">
        <v>4</v>
      </c>
      <c r="AA49" t="s">
        <v>196</v>
      </c>
      <c r="AB49" s="6">
        <v>45951.375</v>
      </c>
      <c r="AC49" t="s">
        <v>114</v>
      </c>
      <c r="AD49" t="s">
        <v>115</v>
      </c>
      <c r="AE49" t="s">
        <v>116</v>
      </c>
      <c r="AF49">
        <v>23</v>
      </c>
      <c r="AG49" t="s">
        <v>197</v>
      </c>
      <c r="AH49">
        <v>4</v>
      </c>
      <c r="AJ49" t="s">
        <v>118</v>
      </c>
      <c r="AK49" s="7">
        <v>21.1</v>
      </c>
      <c r="AN49">
        <v>42.4</v>
      </c>
      <c r="AO49">
        <v>20.11</v>
      </c>
      <c r="AP49">
        <v>205.32</v>
      </c>
      <c r="AT49" t="s">
        <v>119</v>
      </c>
      <c r="AU49" t="s">
        <v>133</v>
      </c>
      <c r="AV49" t="s">
        <v>121</v>
      </c>
      <c r="AY49" t="s">
        <v>122</v>
      </c>
      <c r="AZ49" t="s">
        <v>123</v>
      </c>
      <c r="BO49" t="s">
        <v>124</v>
      </c>
      <c r="BP49" t="s">
        <v>125</v>
      </c>
      <c r="BQ49" t="s">
        <v>196</v>
      </c>
      <c r="BR49" t="s">
        <v>196</v>
      </c>
      <c r="BS49" t="s">
        <v>198</v>
      </c>
      <c r="BX49" t="s">
        <v>127</v>
      </c>
      <c r="BY49" t="s">
        <v>128</v>
      </c>
      <c r="BZ49" t="s">
        <v>200</v>
      </c>
      <c r="CA49" t="s">
        <v>196</v>
      </c>
      <c r="CB49" s="7">
        <v>23</v>
      </c>
      <c r="CC49">
        <v>23</v>
      </c>
      <c r="CD49" s="7">
        <v>4</v>
      </c>
      <c r="CE49" s="7">
        <v>205.32</v>
      </c>
      <c r="CF49" s="7">
        <v>101.07</v>
      </c>
      <c r="CG49" s="7">
        <f t="shared" si="3"/>
        <v>104.25</v>
      </c>
      <c r="CH49" s="7">
        <v>42.4</v>
      </c>
      <c r="CI49" s="7">
        <v>27.34</v>
      </c>
      <c r="CJ49" s="7">
        <v>20.11</v>
      </c>
      <c r="CK49" s="6">
        <v>45951.375</v>
      </c>
      <c r="CL49" t="s">
        <v>5</v>
      </c>
      <c r="CN49" t="s">
        <v>129</v>
      </c>
    </row>
    <row r="50" spans="1:92">
      <c r="A50" t="s">
        <v>201</v>
      </c>
      <c r="B50" s="6">
        <v>45952.416666666701</v>
      </c>
      <c r="C50" s="7">
        <v>46</v>
      </c>
      <c r="D50" s="7">
        <v>23</v>
      </c>
      <c r="E50" s="7">
        <v>1052.9000000000001</v>
      </c>
      <c r="F50" s="7">
        <v>77.97</v>
      </c>
      <c r="H50" s="7">
        <v>54.09</v>
      </c>
      <c r="I50" s="7">
        <f t="shared" si="2"/>
        <v>83.549999999999983</v>
      </c>
      <c r="J50" s="7">
        <v>12</v>
      </c>
      <c r="K50" s="7">
        <v>6</v>
      </c>
      <c r="L50" s="7">
        <v>16</v>
      </c>
      <c r="M50" s="7">
        <v>5.39</v>
      </c>
      <c r="N50" s="7">
        <v>79</v>
      </c>
      <c r="Q50" s="7"/>
      <c r="R50">
        <v>4</v>
      </c>
      <c r="AA50" t="s">
        <v>196</v>
      </c>
      <c r="AB50" s="6">
        <v>45952.416666666701</v>
      </c>
      <c r="AC50" t="s">
        <v>114</v>
      </c>
      <c r="AD50" t="s">
        <v>115</v>
      </c>
      <c r="AE50" t="s">
        <v>116</v>
      </c>
      <c r="AF50">
        <v>23</v>
      </c>
      <c r="AG50" t="s">
        <v>197</v>
      </c>
      <c r="AH50">
        <v>4</v>
      </c>
      <c r="AJ50" t="s">
        <v>118</v>
      </c>
      <c r="AK50" s="7">
        <v>13.7</v>
      </c>
      <c r="AN50">
        <v>69.739999999999995</v>
      </c>
      <c r="AO50">
        <v>8.92</v>
      </c>
      <c r="AP50">
        <v>137.63999999999999</v>
      </c>
      <c r="AT50" t="s">
        <v>119</v>
      </c>
      <c r="AU50" t="s">
        <v>135</v>
      </c>
      <c r="AV50" t="s">
        <v>121</v>
      </c>
      <c r="AY50" t="s">
        <v>122</v>
      </c>
      <c r="AZ50" t="s">
        <v>123</v>
      </c>
      <c r="BO50" t="s">
        <v>124</v>
      </c>
      <c r="BP50" t="s">
        <v>125</v>
      </c>
      <c r="BQ50" t="s">
        <v>196</v>
      </c>
      <c r="BR50" t="s">
        <v>196</v>
      </c>
      <c r="BS50" t="s">
        <v>198</v>
      </c>
      <c r="BX50" t="s">
        <v>127</v>
      </c>
      <c r="BY50" t="s">
        <v>128</v>
      </c>
      <c r="BZ50" t="s">
        <v>201</v>
      </c>
      <c r="CA50" t="s">
        <v>196</v>
      </c>
      <c r="CB50" s="7">
        <v>23.1</v>
      </c>
      <c r="CC50">
        <v>23</v>
      </c>
      <c r="CD50" s="7">
        <v>4</v>
      </c>
      <c r="CE50" s="7">
        <v>137.63999999999999</v>
      </c>
      <c r="CF50" s="7">
        <v>54.09</v>
      </c>
      <c r="CG50" s="7">
        <f t="shared" si="3"/>
        <v>83.549999999999983</v>
      </c>
      <c r="CH50" s="7">
        <v>69.739999999999995</v>
      </c>
      <c r="CI50" s="7">
        <v>54.38</v>
      </c>
      <c r="CJ50" s="7">
        <v>8.92</v>
      </c>
      <c r="CK50" s="6">
        <v>45952.416666666701</v>
      </c>
      <c r="CL50" t="s">
        <v>5</v>
      </c>
      <c r="CN50" t="s">
        <v>129</v>
      </c>
    </row>
    <row r="51" spans="1:92">
      <c r="A51" t="s">
        <v>202</v>
      </c>
      <c r="B51" s="6">
        <v>45953.4375</v>
      </c>
      <c r="C51" s="7">
        <v>70.5</v>
      </c>
      <c r="D51" s="7">
        <v>23</v>
      </c>
      <c r="E51" s="7">
        <v>1031.7</v>
      </c>
      <c r="F51" s="7">
        <v>74.03</v>
      </c>
      <c r="H51" s="7">
        <v>28.02</v>
      </c>
      <c r="I51" s="7">
        <f t="shared" si="2"/>
        <v>63.86</v>
      </c>
      <c r="J51" s="7">
        <v>5</v>
      </c>
      <c r="K51" s="7">
        <v>1E-4</v>
      </c>
      <c r="L51" s="7">
        <v>1E-4</v>
      </c>
      <c r="M51" s="7">
        <v>6.36</v>
      </c>
      <c r="N51" s="7">
        <v>46</v>
      </c>
      <c r="Q51" s="7"/>
      <c r="R51">
        <v>4</v>
      </c>
      <c r="AA51" t="s">
        <v>196</v>
      </c>
      <c r="AB51" s="6">
        <v>45953.4375</v>
      </c>
      <c r="AC51" t="s">
        <v>114</v>
      </c>
      <c r="AD51" t="s">
        <v>115</v>
      </c>
      <c r="AE51" t="s">
        <v>116</v>
      </c>
      <c r="AF51">
        <v>23</v>
      </c>
      <c r="AG51" t="s">
        <v>197</v>
      </c>
      <c r="AH51">
        <v>4</v>
      </c>
      <c r="AJ51" t="s">
        <v>118</v>
      </c>
      <c r="AK51" s="7">
        <v>8.6999999999999993</v>
      </c>
      <c r="AN51">
        <v>63.29</v>
      </c>
      <c r="AO51">
        <v>9.83</v>
      </c>
      <c r="AP51">
        <v>91.88</v>
      </c>
      <c r="AT51" t="s">
        <v>119</v>
      </c>
      <c r="AU51" t="s">
        <v>137</v>
      </c>
      <c r="AV51" t="s">
        <v>121</v>
      </c>
      <c r="AY51" t="s">
        <v>122</v>
      </c>
      <c r="AZ51" t="s">
        <v>123</v>
      </c>
      <c r="BO51" t="s">
        <v>124</v>
      </c>
      <c r="BP51" t="s">
        <v>125</v>
      </c>
      <c r="BQ51" t="s">
        <v>196</v>
      </c>
      <c r="BR51" t="s">
        <v>196</v>
      </c>
      <c r="BS51" t="s">
        <v>198</v>
      </c>
      <c r="BX51" t="s">
        <v>127</v>
      </c>
      <c r="BY51" t="s">
        <v>128</v>
      </c>
      <c r="BZ51" t="s">
        <v>202</v>
      </c>
      <c r="CA51" t="s">
        <v>196</v>
      </c>
      <c r="CB51" s="7">
        <v>23.3</v>
      </c>
      <c r="CC51">
        <v>23</v>
      </c>
      <c r="CD51" s="7">
        <v>4</v>
      </c>
      <c r="CE51" s="7">
        <v>91.88</v>
      </c>
      <c r="CF51" s="7">
        <v>28.02</v>
      </c>
      <c r="CG51" s="7">
        <f t="shared" si="3"/>
        <v>63.86</v>
      </c>
      <c r="CH51" s="7">
        <v>63.29</v>
      </c>
      <c r="CI51" s="7">
        <v>46.85</v>
      </c>
      <c r="CJ51" s="7">
        <v>9.83</v>
      </c>
      <c r="CK51" s="6">
        <v>45953.4375</v>
      </c>
      <c r="CL51" t="s">
        <v>5</v>
      </c>
      <c r="CN51" t="s">
        <v>129</v>
      </c>
    </row>
    <row r="52" spans="1:92">
      <c r="A52" t="s">
        <v>203</v>
      </c>
      <c r="B52" s="6">
        <v>45954.395833333299</v>
      </c>
      <c r="C52" s="7">
        <v>93.5</v>
      </c>
      <c r="D52" s="7">
        <v>23</v>
      </c>
      <c r="E52" s="7">
        <v>1018.9</v>
      </c>
      <c r="F52" s="7">
        <v>71.37</v>
      </c>
      <c r="H52" s="7">
        <v>15.36</v>
      </c>
      <c r="I52" s="7">
        <f t="shared" si="2"/>
        <v>49.730000000000004</v>
      </c>
      <c r="J52" s="7">
        <v>6</v>
      </c>
      <c r="K52" s="7">
        <v>1E-4</v>
      </c>
      <c r="L52" s="7">
        <v>1E-4</v>
      </c>
      <c r="M52" s="7">
        <v>6.64</v>
      </c>
      <c r="N52" s="7">
        <v>45</v>
      </c>
      <c r="Q52" s="7">
        <v>9.9600000000000009</v>
      </c>
      <c r="R52">
        <v>4</v>
      </c>
      <c r="AA52" t="s">
        <v>196</v>
      </c>
      <c r="AB52" s="6">
        <v>45954.395833333299</v>
      </c>
      <c r="AC52" t="s">
        <v>114</v>
      </c>
      <c r="AD52" t="s">
        <v>115</v>
      </c>
      <c r="AE52" t="s">
        <v>116</v>
      </c>
      <c r="AF52">
        <v>23</v>
      </c>
      <c r="AG52" t="s">
        <v>197</v>
      </c>
      <c r="AH52">
        <v>4</v>
      </c>
      <c r="AJ52" t="s">
        <v>118</v>
      </c>
      <c r="AK52" s="7">
        <v>5.4</v>
      </c>
      <c r="AN52">
        <v>69.739999999999995</v>
      </c>
      <c r="AO52">
        <v>9.0299999999999994</v>
      </c>
      <c r="AP52">
        <v>65.09</v>
      </c>
      <c r="AT52" t="s">
        <v>119</v>
      </c>
      <c r="AU52" t="s">
        <v>139</v>
      </c>
      <c r="AV52" t="s">
        <v>121</v>
      </c>
      <c r="AY52" t="s">
        <v>122</v>
      </c>
      <c r="AZ52" t="s">
        <v>123</v>
      </c>
      <c r="BO52" t="s">
        <v>124</v>
      </c>
      <c r="BP52" t="s">
        <v>125</v>
      </c>
      <c r="BQ52" t="s">
        <v>196</v>
      </c>
      <c r="BR52" t="s">
        <v>196</v>
      </c>
      <c r="BS52" t="s">
        <v>198</v>
      </c>
      <c r="BX52" t="s">
        <v>127</v>
      </c>
      <c r="BY52" t="s">
        <v>128</v>
      </c>
      <c r="BZ52" t="s">
        <v>203</v>
      </c>
      <c r="CA52" t="s">
        <v>196</v>
      </c>
      <c r="CB52" s="7">
        <v>22.7</v>
      </c>
      <c r="CC52">
        <v>23</v>
      </c>
      <c r="CD52" s="7">
        <v>4</v>
      </c>
      <c r="CE52" s="7">
        <v>65.09</v>
      </c>
      <c r="CF52" s="7">
        <v>15.36</v>
      </c>
      <c r="CG52" s="7">
        <f t="shared" si="3"/>
        <v>49.730000000000004</v>
      </c>
      <c r="CH52" s="7">
        <v>69.739999999999995</v>
      </c>
      <c r="CI52" s="7">
        <v>49.77</v>
      </c>
      <c r="CJ52" s="7">
        <v>9.0299999999999994</v>
      </c>
      <c r="CK52" s="6">
        <v>45954.395833333299</v>
      </c>
      <c r="CL52" t="s">
        <v>5</v>
      </c>
      <c r="CN52" t="s">
        <v>129</v>
      </c>
    </row>
    <row r="53" spans="1:92">
      <c r="A53" t="s">
        <v>204</v>
      </c>
      <c r="B53" s="6">
        <v>45957.416666666701</v>
      </c>
      <c r="C53" s="7">
        <v>166</v>
      </c>
      <c r="D53" s="7">
        <v>23</v>
      </c>
      <c r="E53" s="7">
        <v>991.6</v>
      </c>
      <c r="F53" s="7">
        <v>60.57</v>
      </c>
      <c r="H53" s="7">
        <v>1.05</v>
      </c>
      <c r="I53" s="7">
        <f t="shared" si="2"/>
        <v>4.4400000000000004</v>
      </c>
      <c r="J53" s="7">
        <v>68</v>
      </c>
      <c r="K53" s="7">
        <v>40</v>
      </c>
      <c r="L53" s="7">
        <v>100</v>
      </c>
      <c r="M53" s="7">
        <v>7.08</v>
      </c>
      <c r="N53" s="7">
        <v>31</v>
      </c>
      <c r="Q53" s="7">
        <v>13.75</v>
      </c>
      <c r="R53">
        <v>4</v>
      </c>
      <c r="AA53" t="s">
        <v>196</v>
      </c>
      <c r="AB53" s="6">
        <v>45957.416666666701</v>
      </c>
      <c r="AC53" t="s">
        <v>114</v>
      </c>
      <c r="AD53" t="s">
        <v>115</v>
      </c>
      <c r="AE53" t="s">
        <v>116</v>
      </c>
      <c r="AF53">
        <v>23</v>
      </c>
      <c r="AG53" t="s">
        <v>197</v>
      </c>
      <c r="AH53">
        <v>4</v>
      </c>
      <c r="AJ53" t="s">
        <v>118</v>
      </c>
      <c r="AK53" s="7">
        <v>-1.5</v>
      </c>
      <c r="AN53">
        <v>75.959999999999994</v>
      </c>
      <c r="AO53">
        <v>7.18</v>
      </c>
      <c r="AP53">
        <v>5.49</v>
      </c>
      <c r="AT53" t="s">
        <v>119</v>
      </c>
      <c r="AU53" t="s">
        <v>141</v>
      </c>
      <c r="AV53" t="s">
        <v>121</v>
      </c>
      <c r="AY53" t="s">
        <v>122</v>
      </c>
      <c r="AZ53" t="s">
        <v>123</v>
      </c>
      <c r="BO53" t="s">
        <v>124</v>
      </c>
      <c r="BP53" t="s">
        <v>125</v>
      </c>
      <c r="BQ53" t="s">
        <v>196</v>
      </c>
      <c r="BR53" t="s">
        <v>196</v>
      </c>
      <c r="BS53" t="s">
        <v>198</v>
      </c>
      <c r="BX53" t="s">
        <v>127</v>
      </c>
      <c r="BY53" t="s">
        <v>128</v>
      </c>
      <c r="BZ53" t="s">
        <v>204</v>
      </c>
      <c r="CA53" t="s">
        <v>196</v>
      </c>
      <c r="CB53" s="7">
        <v>22.6</v>
      </c>
      <c r="CC53">
        <v>23</v>
      </c>
      <c r="CD53" s="7">
        <v>4</v>
      </c>
      <c r="CE53" s="7">
        <v>5.49</v>
      </c>
      <c r="CF53" s="7">
        <v>1.05</v>
      </c>
      <c r="CG53" s="7">
        <f t="shared" si="3"/>
        <v>4.4400000000000004</v>
      </c>
      <c r="CH53" s="7">
        <v>75.959999999999994</v>
      </c>
      <c r="CI53" s="7">
        <v>46.01</v>
      </c>
      <c r="CJ53" s="7">
        <v>7.18</v>
      </c>
      <c r="CK53" s="6">
        <v>45957.416666666701</v>
      </c>
      <c r="CL53" t="s">
        <v>5</v>
      </c>
      <c r="CN53" t="s">
        <v>129</v>
      </c>
    </row>
    <row r="54" spans="1:92">
      <c r="A54" t="s">
        <v>205</v>
      </c>
      <c r="B54" s="6">
        <v>45958.458333333299</v>
      </c>
      <c r="C54" s="7">
        <v>191</v>
      </c>
      <c r="D54" s="7">
        <v>23</v>
      </c>
      <c r="E54" s="7">
        <v>988.6</v>
      </c>
      <c r="F54" s="7">
        <v>54.32</v>
      </c>
      <c r="H54" s="7">
        <v>0.56000000000000005</v>
      </c>
      <c r="I54" s="7">
        <f t="shared" si="2"/>
        <v>-0.45000000000000007</v>
      </c>
      <c r="J54" s="7">
        <v>66</v>
      </c>
      <c r="K54" s="7">
        <v>35</v>
      </c>
      <c r="L54" s="7">
        <v>95</v>
      </c>
      <c r="M54" s="7">
        <v>7.27</v>
      </c>
      <c r="N54" s="7">
        <v>29</v>
      </c>
      <c r="Q54" s="7"/>
      <c r="R54">
        <v>4</v>
      </c>
      <c r="AA54" t="s">
        <v>196</v>
      </c>
      <c r="AB54" s="6">
        <v>45958.458333333299</v>
      </c>
      <c r="AC54" t="s">
        <v>114</v>
      </c>
      <c r="AD54" t="s">
        <v>115</v>
      </c>
      <c r="AE54" t="s">
        <v>116</v>
      </c>
      <c r="AF54">
        <v>23</v>
      </c>
      <c r="AG54" t="s">
        <v>197</v>
      </c>
      <c r="AH54">
        <v>4</v>
      </c>
      <c r="AJ54" t="s">
        <v>118</v>
      </c>
      <c r="AK54" s="7">
        <v>-2.2999999999999998</v>
      </c>
      <c r="AN54">
        <v>61.37</v>
      </c>
      <c r="AO54">
        <v>9.14</v>
      </c>
      <c r="AP54">
        <v>0.11</v>
      </c>
      <c r="AT54" t="s">
        <v>119</v>
      </c>
      <c r="AU54" t="s">
        <v>143</v>
      </c>
      <c r="AV54" t="s">
        <v>121</v>
      </c>
      <c r="AY54" t="s">
        <v>122</v>
      </c>
      <c r="AZ54" t="s">
        <v>123</v>
      </c>
      <c r="BO54" t="s">
        <v>124</v>
      </c>
      <c r="BP54" t="s">
        <v>125</v>
      </c>
      <c r="BQ54" t="s">
        <v>196</v>
      </c>
      <c r="BR54" t="s">
        <v>196</v>
      </c>
      <c r="BS54" t="s">
        <v>198</v>
      </c>
      <c r="BX54" t="s">
        <v>127</v>
      </c>
      <c r="BY54" t="s">
        <v>128</v>
      </c>
      <c r="BZ54" t="s">
        <v>205</v>
      </c>
      <c r="CA54" t="s">
        <v>196</v>
      </c>
      <c r="CB54" s="7">
        <v>23.2</v>
      </c>
      <c r="CC54">
        <v>23</v>
      </c>
      <c r="CD54" s="7">
        <v>4</v>
      </c>
      <c r="CE54" s="7">
        <v>0.11</v>
      </c>
      <c r="CF54" s="7">
        <v>0.56000000000000005</v>
      </c>
      <c r="CG54" s="7">
        <f t="shared" si="3"/>
        <v>-0.45000000000000007</v>
      </c>
      <c r="CH54" s="7">
        <v>61.37</v>
      </c>
      <c r="CI54" s="7">
        <v>33.33</v>
      </c>
      <c r="CJ54" s="7">
        <v>9.14</v>
      </c>
      <c r="CK54" s="6">
        <v>45958.458333333299</v>
      </c>
      <c r="CL54" t="s">
        <v>5</v>
      </c>
      <c r="CN54" t="s">
        <v>129</v>
      </c>
    </row>
    <row r="55" spans="1:92">
      <c r="A55" t="s">
        <v>206</v>
      </c>
      <c r="B55" s="6">
        <v>45959.395833333299</v>
      </c>
      <c r="C55" s="7">
        <v>213.5</v>
      </c>
      <c r="D55" s="7">
        <v>23</v>
      </c>
      <c r="E55" s="7">
        <v>988.8</v>
      </c>
      <c r="F55" s="7">
        <v>56.97</v>
      </c>
      <c r="H55" s="7">
        <v>2.97</v>
      </c>
      <c r="I55" s="7">
        <f t="shared" si="2"/>
        <v>-1.4400000000000002</v>
      </c>
      <c r="J55" s="7"/>
      <c r="K55" s="7"/>
      <c r="L55" s="7"/>
      <c r="M55" s="7">
        <v>7.68</v>
      </c>
      <c r="N55" s="7">
        <v>10</v>
      </c>
      <c r="Q55" s="7">
        <v>14.2</v>
      </c>
      <c r="R55">
        <v>4</v>
      </c>
      <c r="AA55" t="s">
        <v>196</v>
      </c>
      <c r="AB55" s="6">
        <v>45959.395833333299</v>
      </c>
      <c r="AC55" t="s">
        <v>114</v>
      </c>
      <c r="AD55" t="s">
        <v>115</v>
      </c>
      <c r="AE55" t="s">
        <v>116</v>
      </c>
      <c r="AF55">
        <v>23</v>
      </c>
      <c r="AG55" t="s">
        <v>197</v>
      </c>
      <c r="AH55">
        <v>4</v>
      </c>
      <c r="AJ55" t="s">
        <v>118</v>
      </c>
      <c r="AK55" s="7">
        <v>-2.2999999999999998</v>
      </c>
      <c r="AN55">
        <v>89.25</v>
      </c>
      <c r="AO55">
        <v>11.19</v>
      </c>
      <c r="AP55">
        <v>1.53</v>
      </c>
      <c r="AT55" t="s">
        <v>119</v>
      </c>
      <c r="AU55" t="s">
        <v>145</v>
      </c>
      <c r="AV55" t="s">
        <v>121</v>
      </c>
      <c r="AY55" t="s">
        <v>122</v>
      </c>
      <c r="AZ55" t="s">
        <v>123</v>
      </c>
      <c r="BO55" t="s">
        <v>124</v>
      </c>
      <c r="BP55" t="s">
        <v>125</v>
      </c>
      <c r="BQ55" t="s">
        <v>196</v>
      </c>
      <c r="BR55" t="s">
        <v>196</v>
      </c>
      <c r="BS55" t="s">
        <v>198</v>
      </c>
      <c r="BX55" t="s">
        <v>127</v>
      </c>
      <c r="BY55" t="s">
        <v>128</v>
      </c>
      <c r="BZ55" t="s">
        <v>206</v>
      </c>
      <c r="CA55" t="s">
        <v>196</v>
      </c>
      <c r="CB55" s="7">
        <v>22.9</v>
      </c>
      <c r="CC55">
        <v>23</v>
      </c>
      <c r="CD55" s="7">
        <v>4</v>
      </c>
      <c r="CE55" s="7">
        <v>1.53</v>
      </c>
      <c r="CF55" s="7">
        <v>2.97</v>
      </c>
      <c r="CG55" s="7">
        <f t="shared" si="3"/>
        <v>-1.4400000000000002</v>
      </c>
      <c r="CH55" s="7">
        <v>89.25</v>
      </c>
      <c r="CI55" s="7">
        <v>50.84</v>
      </c>
      <c r="CJ55" s="7">
        <v>11.19</v>
      </c>
      <c r="CK55" s="6">
        <v>45959.395833333299</v>
      </c>
      <c r="CL55" t="s">
        <v>5</v>
      </c>
      <c r="CN55" t="s">
        <v>129</v>
      </c>
    </row>
    <row r="56" spans="1:92">
      <c r="A56" t="s">
        <v>207</v>
      </c>
      <c r="B56" s="6">
        <v>45964.5</v>
      </c>
      <c r="C56" s="7">
        <v>0</v>
      </c>
      <c r="D56" s="7">
        <v>19</v>
      </c>
      <c r="E56" s="7">
        <v>1098.4000000000001</v>
      </c>
      <c r="F56" s="7"/>
      <c r="H56" s="7">
        <v>125.07</v>
      </c>
      <c r="I56" s="7">
        <f t="shared" si="2"/>
        <v>116.20000000000002</v>
      </c>
      <c r="J56" s="7">
        <v>14</v>
      </c>
      <c r="K56" s="7">
        <v>249</v>
      </c>
      <c r="L56" s="7">
        <v>218</v>
      </c>
      <c r="M56" s="7">
        <v>0.27</v>
      </c>
      <c r="N56" s="7">
        <v>1E-4</v>
      </c>
      <c r="Q56" s="7">
        <v>0</v>
      </c>
      <c r="R56">
        <v>3</v>
      </c>
      <c r="AA56" t="s">
        <v>208</v>
      </c>
      <c r="AB56" s="6">
        <v>45964.5</v>
      </c>
      <c r="AC56" t="s">
        <v>114</v>
      </c>
      <c r="AD56" t="s">
        <v>115</v>
      </c>
      <c r="AE56" t="s">
        <v>116</v>
      </c>
      <c r="AF56">
        <v>19</v>
      </c>
      <c r="AG56" t="s">
        <v>209</v>
      </c>
      <c r="AH56">
        <v>3</v>
      </c>
      <c r="AJ56" t="s">
        <v>118</v>
      </c>
      <c r="AK56" s="7">
        <v>23.8</v>
      </c>
      <c r="AN56">
        <v>15</v>
      </c>
      <c r="AP56">
        <v>241.27</v>
      </c>
      <c r="AT56" t="s">
        <v>119</v>
      </c>
      <c r="AU56" t="s">
        <v>120</v>
      </c>
      <c r="AV56" t="s">
        <v>121</v>
      </c>
      <c r="AY56" t="s">
        <v>122</v>
      </c>
      <c r="AZ56" t="s">
        <v>123</v>
      </c>
      <c r="BO56" t="s">
        <v>124</v>
      </c>
      <c r="BP56" t="s">
        <v>125</v>
      </c>
      <c r="BQ56" t="s">
        <v>208</v>
      </c>
      <c r="BR56" t="s">
        <v>208</v>
      </c>
      <c r="BS56" t="s">
        <v>210</v>
      </c>
      <c r="BX56" t="s">
        <v>127</v>
      </c>
      <c r="BY56" t="s">
        <v>128</v>
      </c>
      <c r="BZ56" t="s">
        <v>207</v>
      </c>
      <c r="CA56" t="s">
        <v>208</v>
      </c>
      <c r="CB56" s="7">
        <v>19</v>
      </c>
      <c r="CC56">
        <v>19</v>
      </c>
      <c r="CD56" s="7">
        <v>3</v>
      </c>
      <c r="CE56" s="7">
        <v>241.27</v>
      </c>
      <c r="CF56" s="7">
        <v>125.07</v>
      </c>
      <c r="CG56" s="7">
        <f t="shared" si="3"/>
        <v>116.20000000000002</v>
      </c>
      <c r="CH56" s="7">
        <v>15</v>
      </c>
      <c r="CI56" s="7"/>
      <c r="CJ56" s="7"/>
      <c r="CK56" s="6">
        <v>45964.5</v>
      </c>
      <c r="CL56" t="s">
        <v>5</v>
      </c>
      <c r="CN56" t="s">
        <v>129</v>
      </c>
    </row>
    <row r="57" spans="1:92">
      <c r="A57" t="s">
        <v>211</v>
      </c>
      <c r="B57" s="6">
        <v>45965.416666666701</v>
      </c>
      <c r="C57" s="7">
        <v>22</v>
      </c>
      <c r="D57" s="7">
        <v>19</v>
      </c>
      <c r="E57" s="7">
        <v>1095.8</v>
      </c>
      <c r="F57" s="7">
        <v>57.41</v>
      </c>
      <c r="H57" s="7">
        <v>116.07</v>
      </c>
      <c r="I57" s="7">
        <f t="shared" si="2"/>
        <v>115.70000000000002</v>
      </c>
      <c r="J57" s="7">
        <v>61</v>
      </c>
      <c r="K57" s="7">
        <v>246</v>
      </c>
      <c r="L57" s="7">
        <v>263</v>
      </c>
      <c r="M57" s="7">
        <v>0.88</v>
      </c>
      <c r="N57" s="7">
        <v>22</v>
      </c>
      <c r="Q57" s="7"/>
      <c r="R57">
        <v>3</v>
      </c>
      <c r="AA57" t="s">
        <v>208</v>
      </c>
      <c r="AB57" s="6">
        <v>45965.416666666701</v>
      </c>
      <c r="AC57" t="s">
        <v>114</v>
      </c>
      <c r="AD57" t="s">
        <v>115</v>
      </c>
      <c r="AE57" t="s">
        <v>116</v>
      </c>
      <c r="AF57">
        <v>19</v>
      </c>
      <c r="AG57" t="s">
        <v>209</v>
      </c>
      <c r="AH57">
        <v>3</v>
      </c>
      <c r="AJ57" t="s">
        <v>118</v>
      </c>
      <c r="AK57" s="7">
        <v>23.2</v>
      </c>
      <c r="AN57">
        <v>26.69</v>
      </c>
      <c r="AO57">
        <v>20</v>
      </c>
      <c r="AP57">
        <v>231.77</v>
      </c>
      <c r="AT57" t="s">
        <v>119</v>
      </c>
      <c r="AU57" t="s">
        <v>131</v>
      </c>
      <c r="AV57" t="s">
        <v>121</v>
      </c>
      <c r="AY57" t="s">
        <v>122</v>
      </c>
      <c r="AZ57" t="s">
        <v>123</v>
      </c>
      <c r="BO57" t="s">
        <v>124</v>
      </c>
      <c r="BP57" t="s">
        <v>125</v>
      </c>
      <c r="BQ57" t="s">
        <v>208</v>
      </c>
      <c r="BR57" t="s">
        <v>208</v>
      </c>
      <c r="BS57" t="s">
        <v>210</v>
      </c>
      <c r="BX57" t="s">
        <v>127</v>
      </c>
      <c r="BY57" t="s">
        <v>128</v>
      </c>
      <c r="BZ57" t="s">
        <v>211</v>
      </c>
      <c r="CA57" t="s">
        <v>208</v>
      </c>
      <c r="CB57" s="7">
        <v>18.8</v>
      </c>
      <c r="CC57">
        <v>19</v>
      </c>
      <c r="CD57" s="7">
        <v>3</v>
      </c>
      <c r="CE57" s="7">
        <v>231.77</v>
      </c>
      <c r="CF57" s="7">
        <v>116.07</v>
      </c>
      <c r="CG57" s="7">
        <f t="shared" si="3"/>
        <v>115.70000000000002</v>
      </c>
      <c r="CH57" s="7">
        <v>26.69</v>
      </c>
      <c r="CI57" s="7">
        <v>15.324999999999999</v>
      </c>
      <c r="CJ57" s="7">
        <v>20</v>
      </c>
      <c r="CK57" s="6">
        <v>45965.416666666701</v>
      </c>
      <c r="CL57" t="s">
        <v>5</v>
      </c>
      <c r="CN57" t="s">
        <v>129</v>
      </c>
    </row>
    <row r="58" spans="1:92">
      <c r="A58" t="s">
        <v>212</v>
      </c>
      <c r="B58" s="6">
        <v>45966.375</v>
      </c>
      <c r="C58" s="7">
        <v>45</v>
      </c>
      <c r="D58" s="7">
        <v>19</v>
      </c>
      <c r="E58" s="7">
        <v>1083.0999999999999</v>
      </c>
      <c r="F58" s="7">
        <v>63.88</v>
      </c>
      <c r="H58" s="7">
        <v>96.42</v>
      </c>
      <c r="I58" s="7">
        <f t="shared" si="2"/>
        <v>104.85000000000001</v>
      </c>
      <c r="J58" s="7">
        <v>24</v>
      </c>
      <c r="K58" s="7">
        <v>168</v>
      </c>
      <c r="L58" s="7">
        <v>162</v>
      </c>
      <c r="M58" s="7">
        <v>2.83</v>
      </c>
      <c r="N58" s="7">
        <v>64</v>
      </c>
      <c r="Q58" s="7"/>
      <c r="R58">
        <v>3</v>
      </c>
      <c r="AA58" t="s">
        <v>208</v>
      </c>
      <c r="AB58" s="6">
        <v>45966.375</v>
      </c>
      <c r="AC58" t="s">
        <v>114</v>
      </c>
      <c r="AD58" t="s">
        <v>115</v>
      </c>
      <c r="AE58" t="s">
        <v>116</v>
      </c>
      <c r="AF58">
        <v>19</v>
      </c>
      <c r="AG58" t="s">
        <v>209</v>
      </c>
      <c r="AH58">
        <v>3</v>
      </c>
      <c r="AJ58" t="s">
        <v>118</v>
      </c>
      <c r="AK58" s="7">
        <v>20.399999999999999</v>
      </c>
      <c r="AN58">
        <v>49.54</v>
      </c>
      <c r="AO58">
        <v>24.65</v>
      </c>
      <c r="AP58">
        <v>201.27</v>
      </c>
      <c r="AT58" t="s">
        <v>119</v>
      </c>
      <c r="AU58" t="s">
        <v>133</v>
      </c>
      <c r="AV58" t="s">
        <v>121</v>
      </c>
      <c r="AY58" t="s">
        <v>122</v>
      </c>
      <c r="AZ58" t="s">
        <v>123</v>
      </c>
      <c r="BO58" t="s">
        <v>124</v>
      </c>
      <c r="BP58" t="s">
        <v>125</v>
      </c>
      <c r="BQ58" t="s">
        <v>208</v>
      </c>
      <c r="BR58" t="s">
        <v>208</v>
      </c>
      <c r="BS58" t="s">
        <v>210</v>
      </c>
      <c r="BX58" t="s">
        <v>127</v>
      </c>
      <c r="BY58" t="s">
        <v>128</v>
      </c>
      <c r="BZ58" t="s">
        <v>212</v>
      </c>
      <c r="CA58" t="s">
        <v>208</v>
      </c>
      <c r="CB58" s="7">
        <v>19.100000000000001</v>
      </c>
      <c r="CC58">
        <v>19</v>
      </c>
      <c r="CD58" s="7">
        <v>3</v>
      </c>
      <c r="CE58" s="7">
        <v>201.27</v>
      </c>
      <c r="CF58" s="7">
        <v>96.42</v>
      </c>
      <c r="CG58" s="7">
        <f t="shared" si="3"/>
        <v>104.85000000000001</v>
      </c>
      <c r="CH58" s="7">
        <v>49.54</v>
      </c>
      <c r="CI58" s="7">
        <v>31.64</v>
      </c>
      <c r="CJ58" s="7">
        <v>24.65</v>
      </c>
      <c r="CK58" s="6">
        <v>45966.375</v>
      </c>
      <c r="CL58" t="s">
        <v>5</v>
      </c>
      <c r="CN58" t="s">
        <v>129</v>
      </c>
    </row>
    <row r="59" spans="1:92">
      <c r="A59" t="s">
        <v>213</v>
      </c>
      <c r="B59" s="6">
        <v>45967.375</v>
      </c>
      <c r="C59" s="7">
        <v>69</v>
      </c>
      <c r="D59" s="7">
        <v>19</v>
      </c>
      <c r="E59" s="7">
        <v>1063.3</v>
      </c>
      <c r="F59" s="7">
        <v>76.069999999999993</v>
      </c>
      <c r="H59" s="7">
        <v>52.17</v>
      </c>
      <c r="I59" s="7">
        <f t="shared" si="2"/>
        <v>71.3</v>
      </c>
      <c r="J59" s="7">
        <v>13</v>
      </c>
      <c r="K59" s="7">
        <v>29</v>
      </c>
      <c r="L59" s="7">
        <v>36</v>
      </c>
      <c r="M59" s="7">
        <v>4.03</v>
      </c>
      <c r="N59" s="7">
        <v>58</v>
      </c>
      <c r="Q59" s="7"/>
      <c r="R59">
        <v>3</v>
      </c>
      <c r="AA59" t="s">
        <v>208</v>
      </c>
      <c r="AB59" s="6">
        <v>45967.375</v>
      </c>
      <c r="AC59" t="s">
        <v>114</v>
      </c>
      <c r="AD59" t="s">
        <v>115</v>
      </c>
      <c r="AE59" t="s">
        <v>116</v>
      </c>
      <c r="AF59">
        <v>19</v>
      </c>
      <c r="AG59" t="s">
        <v>209</v>
      </c>
      <c r="AH59">
        <v>3</v>
      </c>
      <c r="AJ59" t="s">
        <v>118</v>
      </c>
      <c r="AK59" s="7">
        <v>15.9</v>
      </c>
      <c r="AN59">
        <v>71.89</v>
      </c>
      <c r="AO59">
        <v>20.73</v>
      </c>
      <c r="AP59">
        <v>123.47</v>
      </c>
      <c r="AT59" t="s">
        <v>119</v>
      </c>
      <c r="AU59" t="s">
        <v>135</v>
      </c>
      <c r="AV59" t="s">
        <v>121</v>
      </c>
      <c r="AY59" t="s">
        <v>122</v>
      </c>
      <c r="AZ59" t="s">
        <v>123</v>
      </c>
      <c r="BO59" t="s">
        <v>124</v>
      </c>
      <c r="BP59" t="s">
        <v>125</v>
      </c>
      <c r="BQ59" t="s">
        <v>208</v>
      </c>
      <c r="BR59" t="s">
        <v>208</v>
      </c>
      <c r="BS59" t="s">
        <v>210</v>
      </c>
      <c r="BX59" t="s">
        <v>127</v>
      </c>
      <c r="BY59" t="s">
        <v>128</v>
      </c>
      <c r="BZ59" t="s">
        <v>213</v>
      </c>
      <c r="CA59" t="s">
        <v>208</v>
      </c>
      <c r="CB59" s="7">
        <v>19.2</v>
      </c>
      <c r="CC59">
        <v>19</v>
      </c>
      <c r="CD59" s="7">
        <v>3</v>
      </c>
      <c r="CE59" s="7">
        <v>123.47</v>
      </c>
      <c r="CF59" s="7">
        <v>52.17</v>
      </c>
      <c r="CG59" s="7">
        <f t="shared" si="3"/>
        <v>71.3</v>
      </c>
      <c r="CH59" s="7">
        <v>71.89</v>
      </c>
      <c r="CI59" s="7">
        <v>54.69</v>
      </c>
      <c r="CJ59" s="7">
        <v>20.73</v>
      </c>
      <c r="CK59" s="6">
        <v>45967.375</v>
      </c>
      <c r="CL59" t="s">
        <v>5</v>
      </c>
      <c r="CN59" t="s">
        <v>129</v>
      </c>
    </row>
    <row r="60" spans="1:92">
      <c r="A60" t="s">
        <v>214</v>
      </c>
      <c r="B60" s="6">
        <v>45968.395833333299</v>
      </c>
      <c r="C60" s="7">
        <v>93.5</v>
      </c>
      <c r="D60" s="7">
        <v>19</v>
      </c>
      <c r="E60" s="7">
        <v>1043.5999999999999</v>
      </c>
      <c r="F60" s="7">
        <v>66.81</v>
      </c>
      <c r="H60" s="7">
        <v>39.799999999999997</v>
      </c>
      <c r="I60" s="7">
        <f t="shared" si="2"/>
        <v>74.94</v>
      </c>
      <c r="J60" s="7">
        <v>68</v>
      </c>
      <c r="K60" s="7">
        <v>61</v>
      </c>
      <c r="L60" s="7">
        <v>118</v>
      </c>
      <c r="M60" s="7">
        <v>6.39</v>
      </c>
      <c r="N60" s="7">
        <v>62</v>
      </c>
      <c r="Q60" s="7">
        <v>7.13</v>
      </c>
      <c r="R60">
        <v>3</v>
      </c>
      <c r="AA60" t="s">
        <v>208</v>
      </c>
      <c r="AB60" s="6">
        <v>45968.395833333299</v>
      </c>
      <c r="AC60" t="s">
        <v>114</v>
      </c>
      <c r="AD60" t="s">
        <v>115</v>
      </c>
      <c r="AE60" t="s">
        <v>116</v>
      </c>
      <c r="AF60">
        <v>19</v>
      </c>
      <c r="AG60" t="s">
        <v>209</v>
      </c>
      <c r="AH60">
        <v>3</v>
      </c>
      <c r="AJ60" t="s">
        <v>118</v>
      </c>
      <c r="AK60" s="7">
        <v>11.4</v>
      </c>
      <c r="AN60">
        <v>69.66</v>
      </c>
      <c r="AO60">
        <v>15.33</v>
      </c>
      <c r="AP60">
        <v>114.74</v>
      </c>
      <c r="AT60" t="s">
        <v>119</v>
      </c>
      <c r="AU60" t="s">
        <v>137</v>
      </c>
      <c r="AV60" t="s">
        <v>121</v>
      </c>
      <c r="AY60" t="s">
        <v>122</v>
      </c>
      <c r="AZ60" t="s">
        <v>123</v>
      </c>
      <c r="BO60" t="s">
        <v>124</v>
      </c>
      <c r="BP60" t="s">
        <v>125</v>
      </c>
      <c r="BQ60" t="s">
        <v>208</v>
      </c>
      <c r="BR60" t="s">
        <v>208</v>
      </c>
      <c r="BS60" t="s">
        <v>210</v>
      </c>
      <c r="BX60" t="s">
        <v>127</v>
      </c>
      <c r="BY60" t="s">
        <v>128</v>
      </c>
      <c r="BZ60" t="s">
        <v>214</v>
      </c>
      <c r="CA60" t="s">
        <v>208</v>
      </c>
      <c r="CB60" s="7">
        <v>20.6</v>
      </c>
      <c r="CC60">
        <v>19</v>
      </c>
      <c r="CD60" s="7">
        <v>3</v>
      </c>
      <c r="CE60" s="7">
        <v>114.74</v>
      </c>
      <c r="CF60" s="7">
        <v>39.799999999999997</v>
      </c>
      <c r="CG60" s="7">
        <f t="shared" si="3"/>
        <v>74.94</v>
      </c>
      <c r="CH60" s="7">
        <v>69.66</v>
      </c>
      <c r="CI60" s="7">
        <v>46.54</v>
      </c>
      <c r="CJ60" s="7">
        <v>15.33</v>
      </c>
      <c r="CK60" s="6">
        <v>45968.395833333299</v>
      </c>
      <c r="CL60" t="s">
        <v>5</v>
      </c>
      <c r="CN60" t="s">
        <v>129</v>
      </c>
    </row>
    <row r="61" spans="1:92">
      <c r="A61" t="s">
        <v>215</v>
      </c>
      <c r="B61" s="6">
        <v>45971.395833333299</v>
      </c>
      <c r="C61" s="7">
        <v>165.5</v>
      </c>
      <c r="D61" s="7">
        <v>19</v>
      </c>
      <c r="E61" s="7">
        <v>1006.1</v>
      </c>
      <c r="F61" s="7">
        <v>72.83</v>
      </c>
      <c r="H61" s="7">
        <v>4.42</v>
      </c>
      <c r="I61" s="7">
        <f t="shared" si="2"/>
        <v>29.629999999999995</v>
      </c>
      <c r="J61" s="7">
        <v>73</v>
      </c>
      <c r="K61" s="7">
        <v>24</v>
      </c>
      <c r="L61" s="7">
        <v>92</v>
      </c>
      <c r="M61" s="7">
        <v>7.15</v>
      </c>
      <c r="N61" s="7">
        <v>29</v>
      </c>
      <c r="Q61" s="7">
        <v>12.15</v>
      </c>
      <c r="R61">
        <v>3</v>
      </c>
      <c r="AA61" t="s">
        <v>208</v>
      </c>
      <c r="AB61" s="6">
        <v>45971.395833333299</v>
      </c>
      <c r="AC61" t="s">
        <v>114</v>
      </c>
      <c r="AD61" t="s">
        <v>115</v>
      </c>
      <c r="AE61" t="s">
        <v>116</v>
      </c>
      <c r="AF61">
        <v>19</v>
      </c>
      <c r="AG61" t="s">
        <v>209</v>
      </c>
      <c r="AH61">
        <v>3</v>
      </c>
      <c r="AJ61" t="s">
        <v>118</v>
      </c>
      <c r="AK61" s="7">
        <v>2.1</v>
      </c>
      <c r="AN61">
        <v>91.32</v>
      </c>
      <c r="AO61">
        <v>13.2</v>
      </c>
      <c r="AP61">
        <v>34.049999999999997</v>
      </c>
      <c r="AT61" t="s">
        <v>119</v>
      </c>
      <c r="AU61" t="s">
        <v>139</v>
      </c>
      <c r="AV61" t="s">
        <v>121</v>
      </c>
      <c r="AY61" t="s">
        <v>122</v>
      </c>
      <c r="AZ61" t="s">
        <v>123</v>
      </c>
      <c r="BO61" t="s">
        <v>124</v>
      </c>
      <c r="BP61" t="s">
        <v>125</v>
      </c>
      <c r="BQ61" t="s">
        <v>208</v>
      </c>
      <c r="BR61" t="s">
        <v>208</v>
      </c>
      <c r="BS61" t="s">
        <v>210</v>
      </c>
      <c r="BX61" t="s">
        <v>127</v>
      </c>
      <c r="BY61" t="s">
        <v>128</v>
      </c>
      <c r="BZ61" t="s">
        <v>215</v>
      </c>
      <c r="CA61" t="s">
        <v>208</v>
      </c>
      <c r="CB61" s="7">
        <v>20.7</v>
      </c>
      <c r="CC61">
        <v>19</v>
      </c>
      <c r="CD61" s="7">
        <v>3</v>
      </c>
      <c r="CE61" s="7">
        <v>34.049999999999997</v>
      </c>
      <c r="CF61" s="7">
        <v>4.42</v>
      </c>
      <c r="CG61" s="7">
        <f t="shared" si="3"/>
        <v>29.629999999999995</v>
      </c>
      <c r="CH61" s="7">
        <v>91.32</v>
      </c>
      <c r="CI61" s="7">
        <v>66.510000000000005</v>
      </c>
      <c r="CJ61" s="7">
        <v>13.2</v>
      </c>
      <c r="CK61" s="6">
        <v>45971.395833333299</v>
      </c>
      <c r="CL61" t="s">
        <v>5</v>
      </c>
      <c r="CN61" t="s">
        <v>129</v>
      </c>
    </row>
    <row r="62" spans="1:92">
      <c r="A62" t="s">
        <v>216</v>
      </c>
      <c r="B62" s="6">
        <v>45972.479166666701</v>
      </c>
      <c r="C62" s="7">
        <v>191.5</v>
      </c>
      <c r="D62" s="7">
        <v>19</v>
      </c>
      <c r="E62" s="7">
        <v>990</v>
      </c>
      <c r="F62" s="7">
        <v>73.53</v>
      </c>
      <c r="H62" s="7">
        <v>1.79</v>
      </c>
      <c r="I62" s="7">
        <f t="shared" si="2"/>
        <v>16.41</v>
      </c>
      <c r="J62" s="7">
        <v>65</v>
      </c>
      <c r="K62" s="7">
        <v>26</v>
      </c>
      <c r="L62" s="7">
        <v>86</v>
      </c>
      <c r="M62" s="7">
        <v>7.79</v>
      </c>
      <c r="N62" s="7">
        <v>27</v>
      </c>
      <c r="Q62" s="7"/>
      <c r="R62">
        <v>3</v>
      </c>
      <c r="AA62" t="s">
        <v>208</v>
      </c>
      <c r="AB62" s="6">
        <v>45972.479166666701</v>
      </c>
      <c r="AC62" t="s">
        <v>114</v>
      </c>
      <c r="AD62" t="s">
        <v>115</v>
      </c>
      <c r="AE62" t="s">
        <v>116</v>
      </c>
      <c r="AF62">
        <v>19</v>
      </c>
      <c r="AG62" t="s">
        <v>209</v>
      </c>
      <c r="AH62">
        <v>3</v>
      </c>
      <c r="AJ62" t="s">
        <v>118</v>
      </c>
      <c r="AK62" s="7">
        <v>0.2</v>
      </c>
      <c r="AN62">
        <v>116.05</v>
      </c>
      <c r="AO62">
        <v>10.85</v>
      </c>
      <c r="AP62">
        <v>18.2</v>
      </c>
      <c r="AT62" t="s">
        <v>119</v>
      </c>
      <c r="AU62" t="s">
        <v>141</v>
      </c>
      <c r="AV62" t="s">
        <v>121</v>
      </c>
      <c r="AY62" t="s">
        <v>122</v>
      </c>
      <c r="AZ62" t="s">
        <v>123</v>
      </c>
      <c r="BO62" t="s">
        <v>124</v>
      </c>
      <c r="BP62" t="s">
        <v>125</v>
      </c>
      <c r="BQ62" t="s">
        <v>208</v>
      </c>
      <c r="BR62" t="s">
        <v>208</v>
      </c>
      <c r="BS62" t="s">
        <v>210</v>
      </c>
      <c r="BX62" t="s">
        <v>127</v>
      </c>
      <c r="BY62" t="s">
        <v>128</v>
      </c>
      <c r="BZ62" t="s">
        <v>216</v>
      </c>
      <c r="CA62" t="s">
        <v>208</v>
      </c>
      <c r="CB62" s="7">
        <v>19.2</v>
      </c>
      <c r="CC62">
        <v>19</v>
      </c>
      <c r="CD62" s="7">
        <v>3</v>
      </c>
      <c r="CE62" s="7">
        <v>18.2</v>
      </c>
      <c r="CF62" s="7">
        <v>1.79</v>
      </c>
      <c r="CG62" s="7">
        <f t="shared" si="3"/>
        <v>16.41</v>
      </c>
      <c r="CH62" s="7">
        <v>116.05</v>
      </c>
      <c r="CI62" s="7">
        <v>85.33</v>
      </c>
      <c r="CJ62" s="7">
        <v>10.85</v>
      </c>
      <c r="CK62" s="6">
        <v>45972.479166666701</v>
      </c>
      <c r="CL62" t="s">
        <v>5</v>
      </c>
      <c r="CN62" t="s">
        <v>129</v>
      </c>
    </row>
    <row r="63" spans="1:92">
      <c r="A63" t="s">
        <v>217</v>
      </c>
      <c r="B63" s="6">
        <v>45973.375</v>
      </c>
      <c r="C63" s="7">
        <v>213</v>
      </c>
      <c r="D63" s="7">
        <v>19</v>
      </c>
      <c r="E63" s="7">
        <v>993.9</v>
      </c>
      <c r="F63" s="7">
        <v>67.209999999999994</v>
      </c>
      <c r="H63" s="7">
        <v>1.0900000000000001</v>
      </c>
      <c r="I63" s="7">
        <f t="shared" si="2"/>
        <v>8.43</v>
      </c>
      <c r="J63" s="7">
        <v>66</v>
      </c>
      <c r="K63" s="7">
        <v>29</v>
      </c>
      <c r="L63" s="7">
        <v>90</v>
      </c>
      <c r="M63" s="7">
        <v>8.08</v>
      </c>
      <c r="N63" s="7">
        <v>19</v>
      </c>
      <c r="Q63" s="7">
        <v>13.9</v>
      </c>
      <c r="R63">
        <v>3</v>
      </c>
      <c r="AA63" t="s">
        <v>208</v>
      </c>
      <c r="AB63" s="6">
        <v>45973.375</v>
      </c>
      <c r="AC63" t="s">
        <v>114</v>
      </c>
      <c r="AD63" t="s">
        <v>115</v>
      </c>
      <c r="AE63" t="s">
        <v>116</v>
      </c>
      <c r="AF63">
        <v>19</v>
      </c>
      <c r="AG63" t="s">
        <v>209</v>
      </c>
      <c r="AH63">
        <v>3</v>
      </c>
      <c r="AJ63" t="s">
        <v>118</v>
      </c>
      <c r="AK63" s="7">
        <v>-1.1000000000000001</v>
      </c>
      <c r="AN63">
        <v>85.25</v>
      </c>
      <c r="AO63">
        <v>11.89</v>
      </c>
      <c r="AP63">
        <v>9.52</v>
      </c>
      <c r="AT63" t="s">
        <v>119</v>
      </c>
      <c r="AU63" t="s">
        <v>143</v>
      </c>
      <c r="AV63" t="s">
        <v>121</v>
      </c>
      <c r="AY63" t="s">
        <v>122</v>
      </c>
      <c r="AZ63" t="s">
        <v>123</v>
      </c>
      <c r="BO63" t="s">
        <v>124</v>
      </c>
      <c r="BP63" t="s">
        <v>125</v>
      </c>
      <c r="BQ63" t="s">
        <v>208</v>
      </c>
      <c r="BR63" t="s">
        <v>208</v>
      </c>
      <c r="BS63" t="s">
        <v>210</v>
      </c>
      <c r="BX63" t="s">
        <v>127</v>
      </c>
      <c r="BY63" t="s">
        <v>128</v>
      </c>
      <c r="BZ63" t="s">
        <v>217</v>
      </c>
      <c r="CA63" t="s">
        <v>208</v>
      </c>
      <c r="CB63" s="7">
        <v>20.6</v>
      </c>
      <c r="CC63">
        <v>19</v>
      </c>
      <c r="CD63" s="7">
        <v>3</v>
      </c>
      <c r="CE63" s="7">
        <v>9.52</v>
      </c>
      <c r="CF63" s="7">
        <v>1.0900000000000001</v>
      </c>
      <c r="CG63" s="7">
        <f t="shared" si="3"/>
        <v>8.43</v>
      </c>
      <c r="CH63" s="7">
        <v>85.25</v>
      </c>
      <c r="CI63" s="7">
        <v>57.3</v>
      </c>
      <c r="CJ63" s="7">
        <v>11.89</v>
      </c>
      <c r="CK63" s="6">
        <v>45973.375</v>
      </c>
      <c r="CL63" t="s">
        <v>5</v>
      </c>
      <c r="CN63" t="s">
        <v>129</v>
      </c>
    </row>
    <row r="64" spans="1:92">
      <c r="A64" t="s">
        <v>218</v>
      </c>
      <c r="B64" s="6">
        <v>45964.5</v>
      </c>
      <c r="C64" s="7">
        <v>0</v>
      </c>
      <c r="D64" s="7">
        <v>19</v>
      </c>
      <c r="E64" s="7">
        <v>1101.2</v>
      </c>
      <c r="F64" s="7"/>
      <c r="H64" s="7">
        <v>127.15</v>
      </c>
      <c r="I64" s="7">
        <f t="shared" si="2"/>
        <v>126.5</v>
      </c>
      <c r="J64" s="7">
        <v>15</v>
      </c>
      <c r="K64" s="7">
        <v>257</v>
      </c>
      <c r="L64" s="7">
        <v>226</v>
      </c>
      <c r="M64" s="7">
        <v>0.21</v>
      </c>
      <c r="N64" s="7">
        <v>10</v>
      </c>
      <c r="Q64" s="7">
        <v>0</v>
      </c>
      <c r="R64">
        <v>3</v>
      </c>
      <c r="AA64" t="s">
        <v>219</v>
      </c>
      <c r="AB64" s="6">
        <v>45964.5</v>
      </c>
      <c r="AC64" t="s">
        <v>114</v>
      </c>
      <c r="AD64" t="s">
        <v>115</v>
      </c>
      <c r="AE64" t="s">
        <v>116</v>
      </c>
      <c r="AF64">
        <v>19</v>
      </c>
      <c r="AG64" t="s">
        <v>209</v>
      </c>
      <c r="AH64">
        <v>3</v>
      </c>
      <c r="AJ64" t="s">
        <v>118</v>
      </c>
      <c r="AK64" s="7">
        <v>24.4</v>
      </c>
      <c r="AN64">
        <v>15</v>
      </c>
      <c r="AP64">
        <v>253.65</v>
      </c>
      <c r="AT64" t="s">
        <v>119</v>
      </c>
      <c r="AU64" t="s">
        <v>120</v>
      </c>
      <c r="AV64" t="s">
        <v>121</v>
      </c>
      <c r="AY64" t="s">
        <v>122</v>
      </c>
      <c r="AZ64" t="s">
        <v>123</v>
      </c>
      <c r="BO64" t="s">
        <v>124</v>
      </c>
      <c r="BP64" t="s">
        <v>125</v>
      </c>
      <c r="BQ64" t="s">
        <v>219</v>
      </c>
      <c r="BR64" t="s">
        <v>219</v>
      </c>
      <c r="BS64" t="s">
        <v>210</v>
      </c>
      <c r="BX64" t="s">
        <v>127</v>
      </c>
      <c r="BY64" t="s">
        <v>128</v>
      </c>
      <c r="BZ64" t="s">
        <v>218</v>
      </c>
      <c r="CA64" t="s">
        <v>219</v>
      </c>
      <c r="CB64" s="7">
        <v>19.100000000000001</v>
      </c>
      <c r="CC64">
        <v>19</v>
      </c>
      <c r="CD64" s="7">
        <v>3</v>
      </c>
      <c r="CE64" s="7">
        <v>253.65</v>
      </c>
      <c r="CF64" s="7">
        <v>127.15</v>
      </c>
      <c r="CG64" s="7">
        <f t="shared" si="3"/>
        <v>126.5</v>
      </c>
      <c r="CH64" s="7">
        <v>15</v>
      </c>
      <c r="CI64" s="7"/>
      <c r="CJ64" s="7"/>
      <c r="CK64" s="6">
        <v>45964.5</v>
      </c>
      <c r="CL64" t="s">
        <v>5</v>
      </c>
      <c r="CN64" t="s">
        <v>129</v>
      </c>
    </row>
    <row r="65" spans="1:92">
      <c r="A65" t="s">
        <v>220</v>
      </c>
      <c r="B65" s="6">
        <v>45965.416666666701</v>
      </c>
      <c r="C65" s="7">
        <v>22</v>
      </c>
      <c r="D65" s="7">
        <v>19</v>
      </c>
      <c r="E65" s="7">
        <v>1099.0999999999999</v>
      </c>
      <c r="F65" s="7">
        <v>57.67</v>
      </c>
      <c r="H65" s="7">
        <v>121.23</v>
      </c>
      <c r="I65" s="7">
        <f t="shared" si="2"/>
        <v>120.88000000000001</v>
      </c>
      <c r="J65" s="7">
        <v>65</v>
      </c>
      <c r="K65" s="7">
        <v>256</v>
      </c>
      <c r="L65" s="7">
        <v>275</v>
      </c>
      <c r="M65" s="7">
        <v>0.95</v>
      </c>
      <c r="N65" s="7">
        <v>22</v>
      </c>
      <c r="Q65" s="7"/>
      <c r="R65">
        <v>3</v>
      </c>
      <c r="AA65" t="s">
        <v>219</v>
      </c>
      <c r="AB65" s="6">
        <v>45965.416666666701</v>
      </c>
      <c r="AC65" t="s">
        <v>114</v>
      </c>
      <c r="AD65" t="s">
        <v>115</v>
      </c>
      <c r="AE65" t="s">
        <v>116</v>
      </c>
      <c r="AF65">
        <v>19</v>
      </c>
      <c r="AG65" t="s">
        <v>209</v>
      </c>
      <c r="AH65">
        <v>3</v>
      </c>
      <c r="AJ65" t="s">
        <v>118</v>
      </c>
      <c r="AK65" s="7">
        <v>23.9</v>
      </c>
      <c r="AN65">
        <v>28.035</v>
      </c>
      <c r="AO65">
        <v>16.440000000000001</v>
      </c>
      <c r="AP65">
        <v>242.11</v>
      </c>
      <c r="AT65" t="s">
        <v>119</v>
      </c>
      <c r="AU65" t="s">
        <v>131</v>
      </c>
      <c r="AV65" t="s">
        <v>121</v>
      </c>
      <c r="AY65" t="s">
        <v>122</v>
      </c>
      <c r="AZ65" t="s">
        <v>123</v>
      </c>
      <c r="BO65" t="s">
        <v>124</v>
      </c>
      <c r="BP65" t="s">
        <v>125</v>
      </c>
      <c r="BQ65" t="s">
        <v>219</v>
      </c>
      <c r="BR65" t="s">
        <v>219</v>
      </c>
      <c r="BS65" t="s">
        <v>210</v>
      </c>
      <c r="BX65" t="s">
        <v>127</v>
      </c>
      <c r="BY65" t="s">
        <v>128</v>
      </c>
      <c r="BZ65" t="s">
        <v>220</v>
      </c>
      <c r="CA65" t="s">
        <v>219</v>
      </c>
      <c r="CB65" s="7">
        <v>19</v>
      </c>
      <c r="CC65">
        <v>19</v>
      </c>
      <c r="CD65" s="7">
        <v>3</v>
      </c>
      <c r="CE65" s="7">
        <v>242.11</v>
      </c>
      <c r="CF65" s="7">
        <v>121.23</v>
      </c>
      <c r="CG65" s="7">
        <f t="shared" si="3"/>
        <v>120.88000000000001</v>
      </c>
      <c r="CH65" s="7">
        <v>28.035</v>
      </c>
      <c r="CI65" s="7">
        <v>16.164999999999999</v>
      </c>
      <c r="CJ65" s="7">
        <v>16.440000000000001</v>
      </c>
      <c r="CK65" s="6">
        <v>45965.416666666701</v>
      </c>
      <c r="CL65" t="s">
        <v>5</v>
      </c>
      <c r="CN65" t="s">
        <v>129</v>
      </c>
    </row>
    <row r="66" spans="1:92">
      <c r="A66" t="s">
        <v>221</v>
      </c>
      <c r="B66" s="6">
        <v>45966.375</v>
      </c>
      <c r="C66" s="7">
        <v>45</v>
      </c>
      <c r="D66" s="7">
        <v>19</v>
      </c>
      <c r="E66" s="7">
        <v>1086.3</v>
      </c>
      <c r="F66" s="7">
        <v>65.900000000000006</v>
      </c>
      <c r="H66" s="7">
        <v>100.2</v>
      </c>
      <c r="I66" s="7">
        <f t="shared" ref="I66:I87" si="4">IF(OR(CE66="",CF66=""),"",CE66-CF66)</f>
        <v>104.93999999999998</v>
      </c>
      <c r="J66" s="7">
        <v>26</v>
      </c>
      <c r="K66" s="7">
        <v>182</v>
      </c>
      <c r="L66" s="7">
        <v>175</v>
      </c>
      <c r="M66" s="7">
        <v>2.99</v>
      </c>
      <c r="N66" s="7">
        <v>66</v>
      </c>
      <c r="Q66" s="7"/>
      <c r="R66">
        <v>3</v>
      </c>
      <c r="AA66" t="s">
        <v>219</v>
      </c>
      <c r="AB66" s="6">
        <v>45966.375</v>
      </c>
      <c r="AC66" t="s">
        <v>114</v>
      </c>
      <c r="AD66" t="s">
        <v>115</v>
      </c>
      <c r="AE66" t="s">
        <v>116</v>
      </c>
      <c r="AF66">
        <v>19</v>
      </c>
      <c r="AG66" t="s">
        <v>209</v>
      </c>
      <c r="AH66">
        <v>3</v>
      </c>
      <c r="AJ66" t="s">
        <v>118</v>
      </c>
      <c r="AK66" s="7">
        <v>21.2</v>
      </c>
      <c r="AN66">
        <v>46.02</v>
      </c>
      <c r="AO66">
        <v>24.22</v>
      </c>
      <c r="AP66">
        <v>205.14</v>
      </c>
      <c r="AT66" t="s">
        <v>119</v>
      </c>
      <c r="AU66" t="s">
        <v>133</v>
      </c>
      <c r="AV66" t="s">
        <v>121</v>
      </c>
      <c r="AY66" t="s">
        <v>122</v>
      </c>
      <c r="AZ66" t="s">
        <v>123</v>
      </c>
      <c r="BO66" t="s">
        <v>124</v>
      </c>
      <c r="BP66" t="s">
        <v>125</v>
      </c>
      <c r="BQ66" t="s">
        <v>219</v>
      </c>
      <c r="BR66" t="s">
        <v>219</v>
      </c>
      <c r="BS66" t="s">
        <v>210</v>
      </c>
      <c r="BX66" t="s">
        <v>127</v>
      </c>
      <c r="BY66" t="s">
        <v>128</v>
      </c>
      <c r="BZ66" t="s">
        <v>221</v>
      </c>
      <c r="CA66" t="s">
        <v>219</v>
      </c>
      <c r="CB66" s="7">
        <v>19.3</v>
      </c>
      <c r="CC66">
        <v>19</v>
      </c>
      <c r="CD66" s="7">
        <v>3</v>
      </c>
      <c r="CE66" s="7">
        <v>205.14</v>
      </c>
      <c r="CF66" s="7">
        <v>100.2</v>
      </c>
      <c r="CG66" s="7">
        <f t="shared" ref="CG66:CG87" si="5">IF(OR(CE66="",CF66=""),"",CE66-CF66)</f>
        <v>104.93999999999998</v>
      </c>
      <c r="CH66" s="7">
        <v>46.02</v>
      </c>
      <c r="CI66" s="7">
        <v>30.72</v>
      </c>
      <c r="CJ66" s="7">
        <v>24.22</v>
      </c>
      <c r="CK66" s="6">
        <v>45966.375</v>
      </c>
      <c r="CL66" t="s">
        <v>5</v>
      </c>
      <c r="CN66" t="s">
        <v>129</v>
      </c>
    </row>
    <row r="67" spans="1:92">
      <c r="A67" t="s">
        <v>222</v>
      </c>
      <c r="B67" s="6">
        <v>45967.375</v>
      </c>
      <c r="C67" s="7">
        <v>69</v>
      </c>
      <c r="D67" s="7">
        <v>19</v>
      </c>
      <c r="E67" s="7">
        <v>1066.3</v>
      </c>
      <c r="F67" s="7">
        <v>74.64</v>
      </c>
      <c r="H67" s="7">
        <v>68.48</v>
      </c>
      <c r="I67" s="7">
        <f t="shared" si="4"/>
        <v>96.54</v>
      </c>
      <c r="J67" s="7">
        <v>21</v>
      </c>
      <c r="K67" s="7">
        <v>63</v>
      </c>
      <c r="L67" s="7">
        <v>73</v>
      </c>
      <c r="M67" s="7">
        <v>5.17</v>
      </c>
      <c r="N67" s="7">
        <v>78</v>
      </c>
      <c r="Q67" s="7"/>
      <c r="R67">
        <v>3</v>
      </c>
      <c r="AA67" t="s">
        <v>219</v>
      </c>
      <c r="AB67" s="6">
        <v>45967.375</v>
      </c>
      <c r="AC67" t="s">
        <v>114</v>
      </c>
      <c r="AD67" t="s">
        <v>115</v>
      </c>
      <c r="AE67" t="s">
        <v>116</v>
      </c>
      <c r="AF67">
        <v>19</v>
      </c>
      <c r="AG67" t="s">
        <v>209</v>
      </c>
      <c r="AH67">
        <v>3</v>
      </c>
      <c r="AJ67" t="s">
        <v>118</v>
      </c>
      <c r="AK67" s="7">
        <v>16.600000000000001</v>
      </c>
      <c r="AN67">
        <v>68.430000000000007</v>
      </c>
      <c r="AO67">
        <v>15.6</v>
      </c>
      <c r="AP67">
        <v>165.02</v>
      </c>
      <c r="AT67" t="s">
        <v>119</v>
      </c>
      <c r="AU67" t="s">
        <v>135</v>
      </c>
      <c r="AV67" t="s">
        <v>121</v>
      </c>
      <c r="AY67" t="s">
        <v>122</v>
      </c>
      <c r="AZ67" t="s">
        <v>123</v>
      </c>
      <c r="BO67" t="s">
        <v>124</v>
      </c>
      <c r="BP67" t="s">
        <v>125</v>
      </c>
      <c r="BQ67" t="s">
        <v>219</v>
      </c>
      <c r="BR67" t="s">
        <v>219</v>
      </c>
      <c r="BS67" t="s">
        <v>210</v>
      </c>
      <c r="BX67" t="s">
        <v>127</v>
      </c>
      <c r="BY67" t="s">
        <v>128</v>
      </c>
      <c r="BZ67" t="s">
        <v>222</v>
      </c>
      <c r="CA67" t="s">
        <v>219</v>
      </c>
      <c r="CB67" s="7">
        <v>19.3</v>
      </c>
      <c r="CC67">
        <v>19</v>
      </c>
      <c r="CD67" s="7">
        <v>3</v>
      </c>
      <c r="CE67" s="7">
        <v>165.02</v>
      </c>
      <c r="CF67" s="7">
        <v>68.48</v>
      </c>
      <c r="CG67" s="7">
        <f t="shared" si="5"/>
        <v>96.54</v>
      </c>
      <c r="CH67" s="7">
        <v>68.430000000000007</v>
      </c>
      <c r="CI67" s="7">
        <v>51.08</v>
      </c>
      <c r="CJ67" s="7">
        <v>15.6</v>
      </c>
      <c r="CK67" s="6">
        <v>45967.375</v>
      </c>
      <c r="CL67" t="s">
        <v>5</v>
      </c>
      <c r="CN67" t="s">
        <v>129</v>
      </c>
    </row>
    <row r="68" spans="1:92">
      <c r="A68" t="s">
        <v>223</v>
      </c>
      <c r="B68" s="6">
        <v>45968.395833333299</v>
      </c>
      <c r="C68" s="7">
        <v>93.5</v>
      </c>
      <c r="D68" s="7">
        <v>19</v>
      </c>
      <c r="E68" s="7">
        <v>1046.4000000000001</v>
      </c>
      <c r="F68" s="7">
        <v>70.7</v>
      </c>
      <c r="H68" s="7">
        <v>44.45</v>
      </c>
      <c r="I68" s="7">
        <f t="shared" si="4"/>
        <v>80.41</v>
      </c>
      <c r="J68" s="7">
        <v>75</v>
      </c>
      <c r="K68" s="7">
        <v>70</v>
      </c>
      <c r="L68" s="7">
        <v>132</v>
      </c>
      <c r="M68" s="7">
        <v>6.62</v>
      </c>
      <c r="N68" s="7">
        <v>68</v>
      </c>
      <c r="Q68" s="7">
        <v>7.08</v>
      </c>
      <c r="R68">
        <v>3</v>
      </c>
      <c r="AA68" t="s">
        <v>219</v>
      </c>
      <c r="AB68" s="6">
        <v>45968.395833333299</v>
      </c>
      <c r="AC68" t="s">
        <v>114</v>
      </c>
      <c r="AD68" t="s">
        <v>115</v>
      </c>
      <c r="AE68" t="s">
        <v>116</v>
      </c>
      <c r="AF68">
        <v>19</v>
      </c>
      <c r="AG68" t="s">
        <v>209</v>
      </c>
      <c r="AH68">
        <v>3</v>
      </c>
      <c r="AJ68" t="s">
        <v>118</v>
      </c>
      <c r="AK68" s="7">
        <v>12</v>
      </c>
      <c r="AN68">
        <v>87.56</v>
      </c>
      <c r="AO68">
        <v>13.42</v>
      </c>
      <c r="AP68">
        <v>124.86</v>
      </c>
      <c r="AT68" t="s">
        <v>119</v>
      </c>
      <c r="AU68" t="s">
        <v>137</v>
      </c>
      <c r="AV68" t="s">
        <v>121</v>
      </c>
      <c r="AY68" t="s">
        <v>122</v>
      </c>
      <c r="AZ68" t="s">
        <v>123</v>
      </c>
      <c r="BO68" t="s">
        <v>124</v>
      </c>
      <c r="BP68" t="s">
        <v>125</v>
      </c>
      <c r="BQ68" t="s">
        <v>219</v>
      </c>
      <c r="BR68" t="s">
        <v>219</v>
      </c>
      <c r="BS68" t="s">
        <v>210</v>
      </c>
      <c r="BX68" t="s">
        <v>127</v>
      </c>
      <c r="BY68" t="s">
        <v>128</v>
      </c>
      <c r="BZ68" t="s">
        <v>223</v>
      </c>
      <c r="CA68" t="s">
        <v>219</v>
      </c>
      <c r="CB68" s="7">
        <v>20.6</v>
      </c>
      <c r="CC68">
        <v>19</v>
      </c>
      <c r="CD68" s="7">
        <v>3</v>
      </c>
      <c r="CE68" s="7">
        <v>124.86</v>
      </c>
      <c r="CF68" s="7">
        <v>44.45</v>
      </c>
      <c r="CG68" s="7">
        <f t="shared" si="5"/>
        <v>80.41</v>
      </c>
      <c r="CH68" s="7">
        <v>87.56</v>
      </c>
      <c r="CI68" s="7">
        <v>61.9</v>
      </c>
      <c r="CJ68" s="7">
        <v>13.42</v>
      </c>
      <c r="CK68" s="6">
        <v>45968.395833333299</v>
      </c>
      <c r="CL68" t="s">
        <v>5</v>
      </c>
      <c r="CN68" t="s">
        <v>129</v>
      </c>
    </row>
    <row r="69" spans="1:92">
      <c r="A69" t="s">
        <v>224</v>
      </c>
      <c r="B69" s="6">
        <v>45971.395833333299</v>
      </c>
      <c r="C69" s="7">
        <v>165.5</v>
      </c>
      <c r="D69" s="7">
        <v>19</v>
      </c>
      <c r="E69" s="7">
        <v>1009.3</v>
      </c>
      <c r="F69" s="7">
        <v>68.17</v>
      </c>
      <c r="H69" s="7">
        <v>6.17</v>
      </c>
      <c r="I69" s="7">
        <f t="shared" si="4"/>
        <v>35.53</v>
      </c>
      <c r="J69" s="7">
        <v>73</v>
      </c>
      <c r="K69" s="7">
        <v>35</v>
      </c>
      <c r="L69" s="7">
        <v>102</v>
      </c>
      <c r="M69" s="7">
        <v>7.1</v>
      </c>
      <c r="N69" s="7">
        <v>30</v>
      </c>
      <c r="Q69" s="7">
        <v>12.06</v>
      </c>
      <c r="R69">
        <v>3</v>
      </c>
      <c r="AA69" t="s">
        <v>219</v>
      </c>
      <c r="AB69" s="6">
        <v>45971.395833333299</v>
      </c>
      <c r="AC69" t="s">
        <v>114</v>
      </c>
      <c r="AD69" t="s">
        <v>115</v>
      </c>
      <c r="AE69" t="s">
        <v>116</v>
      </c>
      <c r="AF69">
        <v>19</v>
      </c>
      <c r="AG69" t="s">
        <v>209</v>
      </c>
      <c r="AH69">
        <v>3</v>
      </c>
      <c r="AJ69" t="s">
        <v>118</v>
      </c>
      <c r="AK69" s="7">
        <v>2.9</v>
      </c>
      <c r="AN69">
        <v>83.72</v>
      </c>
      <c r="AO69">
        <v>11.38</v>
      </c>
      <c r="AP69">
        <v>41.7</v>
      </c>
      <c r="AT69" t="s">
        <v>119</v>
      </c>
      <c r="AU69" t="s">
        <v>139</v>
      </c>
      <c r="AV69" t="s">
        <v>121</v>
      </c>
      <c r="AY69" t="s">
        <v>122</v>
      </c>
      <c r="AZ69" t="s">
        <v>123</v>
      </c>
      <c r="BO69" t="s">
        <v>124</v>
      </c>
      <c r="BP69" t="s">
        <v>125</v>
      </c>
      <c r="BQ69" t="s">
        <v>219</v>
      </c>
      <c r="BR69" t="s">
        <v>219</v>
      </c>
      <c r="BS69" t="s">
        <v>210</v>
      </c>
      <c r="BX69" t="s">
        <v>127</v>
      </c>
      <c r="BY69" t="s">
        <v>128</v>
      </c>
      <c r="BZ69" t="s">
        <v>224</v>
      </c>
      <c r="CA69" t="s">
        <v>219</v>
      </c>
      <c r="CB69" s="7">
        <v>20.3</v>
      </c>
      <c r="CC69">
        <v>19</v>
      </c>
      <c r="CD69" s="7">
        <v>3</v>
      </c>
      <c r="CE69" s="7">
        <v>41.7</v>
      </c>
      <c r="CF69" s="7">
        <v>6.17</v>
      </c>
      <c r="CG69" s="7">
        <f t="shared" si="5"/>
        <v>35.53</v>
      </c>
      <c r="CH69" s="7">
        <v>83.72</v>
      </c>
      <c r="CI69" s="7">
        <v>57.07</v>
      </c>
      <c r="CJ69" s="7">
        <v>11.38</v>
      </c>
      <c r="CK69" s="6">
        <v>45971.395833333299</v>
      </c>
      <c r="CL69" t="s">
        <v>5</v>
      </c>
      <c r="CN69" t="s">
        <v>129</v>
      </c>
    </row>
    <row r="70" spans="1:92">
      <c r="A70" t="s">
        <v>225</v>
      </c>
      <c r="B70" s="6">
        <v>45972.479166666701</v>
      </c>
      <c r="C70" s="7">
        <v>191.5</v>
      </c>
      <c r="D70" s="7">
        <v>19</v>
      </c>
      <c r="E70" s="7">
        <v>1002.1</v>
      </c>
      <c r="F70" s="7">
        <v>69.33</v>
      </c>
      <c r="H70" s="7">
        <v>2.69</v>
      </c>
      <c r="I70" s="7">
        <f t="shared" si="4"/>
        <v>22.82</v>
      </c>
      <c r="J70" s="7">
        <v>69</v>
      </c>
      <c r="K70" s="7">
        <v>39</v>
      </c>
      <c r="L70" s="7">
        <v>101</v>
      </c>
      <c r="M70" s="7">
        <v>8.01</v>
      </c>
      <c r="N70" s="7">
        <v>29</v>
      </c>
      <c r="Q70" s="7"/>
      <c r="R70">
        <v>3</v>
      </c>
      <c r="AA70" t="s">
        <v>219</v>
      </c>
      <c r="AB70" s="6">
        <v>45972.479166666701</v>
      </c>
      <c r="AC70" t="s">
        <v>114</v>
      </c>
      <c r="AD70" t="s">
        <v>115</v>
      </c>
      <c r="AE70" t="s">
        <v>116</v>
      </c>
      <c r="AF70">
        <v>19</v>
      </c>
      <c r="AG70" t="s">
        <v>209</v>
      </c>
      <c r="AH70">
        <v>3</v>
      </c>
      <c r="AJ70" t="s">
        <v>118</v>
      </c>
      <c r="AK70" s="7">
        <v>1</v>
      </c>
      <c r="AN70">
        <v>98.92</v>
      </c>
      <c r="AO70">
        <v>12.27</v>
      </c>
      <c r="AP70">
        <v>25.51</v>
      </c>
      <c r="AT70" t="s">
        <v>119</v>
      </c>
      <c r="AU70" t="s">
        <v>141</v>
      </c>
      <c r="AV70" t="s">
        <v>121</v>
      </c>
      <c r="AY70" t="s">
        <v>122</v>
      </c>
      <c r="AZ70" t="s">
        <v>123</v>
      </c>
      <c r="BO70" t="s">
        <v>124</v>
      </c>
      <c r="BP70" t="s">
        <v>125</v>
      </c>
      <c r="BQ70" t="s">
        <v>219</v>
      </c>
      <c r="BR70" t="s">
        <v>219</v>
      </c>
      <c r="BS70" t="s">
        <v>210</v>
      </c>
      <c r="BX70" t="s">
        <v>127</v>
      </c>
      <c r="BY70" t="s">
        <v>128</v>
      </c>
      <c r="BZ70" t="s">
        <v>225</v>
      </c>
      <c r="CA70" t="s">
        <v>219</v>
      </c>
      <c r="CB70" s="7">
        <v>19.399999999999999</v>
      </c>
      <c r="CC70">
        <v>19</v>
      </c>
      <c r="CD70" s="7">
        <v>3</v>
      </c>
      <c r="CE70" s="7">
        <v>25.51</v>
      </c>
      <c r="CF70" s="7">
        <v>2.69</v>
      </c>
      <c r="CG70" s="7">
        <f t="shared" si="5"/>
        <v>22.82</v>
      </c>
      <c r="CH70" s="7">
        <v>98.92</v>
      </c>
      <c r="CI70" s="7">
        <v>68.59</v>
      </c>
      <c r="CJ70" s="7">
        <v>12.27</v>
      </c>
      <c r="CK70" s="6">
        <v>45972.479166666701</v>
      </c>
      <c r="CL70" t="s">
        <v>5</v>
      </c>
      <c r="CN70" t="s">
        <v>129</v>
      </c>
    </row>
    <row r="71" spans="1:92">
      <c r="A71" t="s">
        <v>226</v>
      </c>
      <c r="B71" s="6">
        <v>45973.375</v>
      </c>
      <c r="C71" s="7">
        <v>213</v>
      </c>
      <c r="D71" s="7">
        <v>19</v>
      </c>
      <c r="E71" s="7">
        <v>995.6</v>
      </c>
      <c r="F71" s="7">
        <v>67.19</v>
      </c>
      <c r="H71" s="7">
        <v>1.54</v>
      </c>
      <c r="I71" s="7">
        <f t="shared" si="4"/>
        <v>12.280000000000001</v>
      </c>
      <c r="J71" s="7">
        <v>67</v>
      </c>
      <c r="K71" s="7">
        <v>38</v>
      </c>
      <c r="L71" s="7">
        <v>98</v>
      </c>
      <c r="M71" s="7">
        <v>7.92</v>
      </c>
      <c r="N71" s="7">
        <v>24</v>
      </c>
      <c r="Q71" s="7">
        <v>13.9</v>
      </c>
      <c r="R71">
        <v>3</v>
      </c>
      <c r="AA71" t="s">
        <v>219</v>
      </c>
      <c r="AB71" s="6">
        <v>45973.375</v>
      </c>
      <c r="AC71" t="s">
        <v>114</v>
      </c>
      <c r="AD71" t="s">
        <v>115</v>
      </c>
      <c r="AE71" t="s">
        <v>116</v>
      </c>
      <c r="AF71">
        <v>19</v>
      </c>
      <c r="AG71" t="s">
        <v>209</v>
      </c>
      <c r="AH71">
        <v>3</v>
      </c>
      <c r="AJ71" t="s">
        <v>118</v>
      </c>
      <c r="AK71" s="7">
        <v>-0.6</v>
      </c>
      <c r="AN71">
        <v>78.42</v>
      </c>
      <c r="AO71">
        <v>11.07</v>
      </c>
      <c r="AP71">
        <v>13.82</v>
      </c>
      <c r="AT71" t="s">
        <v>119</v>
      </c>
      <c r="AU71" t="s">
        <v>143</v>
      </c>
      <c r="AV71" t="s">
        <v>121</v>
      </c>
      <c r="AY71" t="s">
        <v>122</v>
      </c>
      <c r="AZ71" t="s">
        <v>123</v>
      </c>
      <c r="BO71" t="s">
        <v>124</v>
      </c>
      <c r="BP71" t="s">
        <v>125</v>
      </c>
      <c r="BQ71" t="s">
        <v>219</v>
      </c>
      <c r="BR71" t="s">
        <v>219</v>
      </c>
      <c r="BS71" t="s">
        <v>210</v>
      </c>
      <c r="BX71" t="s">
        <v>127</v>
      </c>
      <c r="BY71" t="s">
        <v>128</v>
      </c>
      <c r="BZ71" t="s">
        <v>226</v>
      </c>
      <c r="CA71" t="s">
        <v>219</v>
      </c>
      <c r="CB71" s="7">
        <v>20.3</v>
      </c>
      <c r="CC71">
        <v>19</v>
      </c>
      <c r="CD71" s="7">
        <v>3</v>
      </c>
      <c r="CE71" s="7">
        <v>13.82</v>
      </c>
      <c r="CF71" s="7">
        <v>1.54</v>
      </c>
      <c r="CG71" s="7">
        <f t="shared" si="5"/>
        <v>12.280000000000001</v>
      </c>
      <c r="CH71" s="7">
        <v>78.42</v>
      </c>
      <c r="CI71" s="7">
        <v>52.69</v>
      </c>
      <c r="CJ71" s="7">
        <v>11.07</v>
      </c>
      <c r="CK71" s="6">
        <v>45973.375</v>
      </c>
      <c r="CL71" t="s">
        <v>5</v>
      </c>
      <c r="CN71" t="s">
        <v>129</v>
      </c>
    </row>
    <row r="72" spans="1:92">
      <c r="A72" t="s">
        <v>227</v>
      </c>
      <c r="B72" s="6">
        <v>45964.5</v>
      </c>
      <c r="C72" s="7">
        <v>0</v>
      </c>
      <c r="D72" s="7">
        <v>15</v>
      </c>
      <c r="E72" s="7">
        <v>1098.3</v>
      </c>
      <c r="F72" s="7"/>
      <c r="H72" s="7">
        <v>121.91</v>
      </c>
      <c r="I72" s="7">
        <f t="shared" si="4"/>
        <v>118.49000000000001</v>
      </c>
      <c r="J72" s="7">
        <v>13</v>
      </c>
      <c r="K72" s="7">
        <v>252</v>
      </c>
      <c r="L72" s="7">
        <v>220</v>
      </c>
      <c r="M72" s="7">
        <v>0.22</v>
      </c>
      <c r="N72" s="7">
        <v>7</v>
      </c>
      <c r="Q72" s="7">
        <v>0</v>
      </c>
      <c r="R72">
        <v>3</v>
      </c>
      <c r="AA72" t="s">
        <v>228</v>
      </c>
      <c r="AB72" s="6">
        <v>45964.5</v>
      </c>
      <c r="AC72" t="s">
        <v>114</v>
      </c>
      <c r="AD72" t="s">
        <v>115</v>
      </c>
      <c r="AE72" t="s">
        <v>116</v>
      </c>
      <c r="AF72">
        <v>15</v>
      </c>
      <c r="AG72" t="s">
        <v>229</v>
      </c>
      <c r="AH72">
        <v>3</v>
      </c>
      <c r="AJ72" t="s">
        <v>118</v>
      </c>
      <c r="AK72" s="7">
        <v>23.6</v>
      </c>
      <c r="AN72">
        <v>15</v>
      </c>
      <c r="AP72">
        <v>240.4</v>
      </c>
      <c r="AT72" t="s">
        <v>119</v>
      </c>
      <c r="AU72" t="s">
        <v>120</v>
      </c>
      <c r="AV72" t="s">
        <v>121</v>
      </c>
      <c r="AY72" t="s">
        <v>122</v>
      </c>
      <c r="AZ72" t="s">
        <v>123</v>
      </c>
      <c r="BO72" t="s">
        <v>124</v>
      </c>
      <c r="BP72" t="s">
        <v>125</v>
      </c>
      <c r="BQ72" t="s">
        <v>228</v>
      </c>
      <c r="BR72" t="s">
        <v>228</v>
      </c>
      <c r="BS72" t="s">
        <v>230</v>
      </c>
      <c r="BX72" t="s">
        <v>127</v>
      </c>
      <c r="BY72" t="s">
        <v>128</v>
      </c>
      <c r="BZ72" t="s">
        <v>227</v>
      </c>
      <c r="CA72" t="s">
        <v>228</v>
      </c>
      <c r="CB72" s="7">
        <v>15.9</v>
      </c>
      <c r="CC72">
        <v>15</v>
      </c>
      <c r="CD72" s="7">
        <v>3</v>
      </c>
      <c r="CE72" s="7">
        <v>240.4</v>
      </c>
      <c r="CF72" s="7">
        <v>121.91</v>
      </c>
      <c r="CG72" s="7">
        <f t="shared" si="5"/>
        <v>118.49000000000001</v>
      </c>
      <c r="CH72" s="7">
        <v>15</v>
      </c>
      <c r="CI72" s="7"/>
      <c r="CJ72" s="7"/>
      <c r="CK72" s="6">
        <v>45964.5</v>
      </c>
      <c r="CL72" t="s">
        <v>5</v>
      </c>
      <c r="CN72" t="s">
        <v>129</v>
      </c>
    </row>
    <row r="73" spans="1:92">
      <c r="A73" t="s">
        <v>231</v>
      </c>
      <c r="B73" s="6">
        <v>45965.416666666701</v>
      </c>
      <c r="C73" s="7">
        <v>22</v>
      </c>
      <c r="D73" s="7">
        <v>15</v>
      </c>
      <c r="E73" s="7">
        <v>1097.9000000000001</v>
      </c>
      <c r="F73" s="7">
        <v>54.26</v>
      </c>
      <c r="H73" s="7">
        <v>119.1</v>
      </c>
      <c r="I73" s="7">
        <f t="shared" si="4"/>
        <v>116.71000000000001</v>
      </c>
      <c r="J73" s="7">
        <v>76</v>
      </c>
      <c r="K73" s="7">
        <v>255</v>
      </c>
      <c r="L73" s="7">
        <v>286</v>
      </c>
      <c r="M73" s="7">
        <v>0.62</v>
      </c>
      <c r="N73" s="7">
        <v>6</v>
      </c>
      <c r="Q73" s="7"/>
      <c r="R73">
        <v>3</v>
      </c>
      <c r="AA73" t="s">
        <v>228</v>
      </c>
      <c r="AB73" s="6">
        <v>45965.416666666701</v>
      </c>
      <c r="AC73" t="s">
        <v>114</v>
      </c>
      <c r="AD73" t="s">
        <v>115</v>
      </c>
      <c r="AE73" t="s">
        <v>116</v>
      </c>
      <c r="AF73">
        <v>15</v>
      </c>
      <c r="AG73" t="s">
        <v>229</v>
      </c>
      <c r="AH73">
        <v>3</v>
      </c>
      <c r="AJ73" t="s">
        <v>118</v>
      </c>
      <c r="AK73" s="7">
        <v>23.5</v>
      </c>
      <c r="AN73">
        <v>23.425000000000001</v>
      </c>
      <c r="AO73">
        <v>16.07</v>
      </c>
      <c r="AP73">
        <v>235.81</v>
      </c>
      <c r="AT73" t="s">
        <v>119</v>
      </c>
      <c r="AU73" t="s">
        <v>131</v>
      </c>
      <c r="AV73" t="s">
        <v>121</v>
      </c>
      <c r="AY73" t="s">
        <v>122</v>
      </c>
      <c r="AZ73" t="s">
        <v>123</v>
      </c>
      <c r="BO73" t="s">
        <v>124</v>
      </c>
      <c r="BP73" t="s">
        <v>125</v>
      </c>
      <c r="BQ73" t="s">
        <v>228</v>
      </c>
      <c r="BR73" t="s">
        <v>228</v>
      </c>
      <c r="BS73" t="s">
        <v>230</v>
      </c>
      <c r="BX73" t="s">
        <v>127</v>
      </c>
      <c r="BY73" t="s">
        <v>128</v>
      </c>
      <c r="BZ73" t="s">
        <v>231</v>
      </c>
      <c r="CA73" t="s">
        <v>228</v>
      </c>
      <c r="CB73" s="7">
        <v>15.8</v>
      </c>
      <c r="CC73">
        <v>15</v>
      </c>
      <c r="CD73" s="7">
        <v>3</v>
      </c>
      <c r="CE73" s="7">
        <v>235.81</v>
      </c>
      <c r="CF73" s="7">
        <v>119.1</v>
      </c>
      <c r="CG73" s="7">
        <f t="shared" si="5"/>
        <v>116.71000000000001</v>
      </c>
      <c r="CH73" s="7">
        <v>23.425000000000001</v>
      </c>
      <c r="CI73" s="7">
        <v>12.71</v>
      </c>
      <c r="CJ73" s="7">
        <v>16.07</v>
      </c>
      <c r="CK73" s="6">
        <v>45965.416666666701</v>
      </c>
      <c r="CL73" t="s">
        <v>5</v>
      </c>
      <c r="CN73" t="s">
        <v>129</v>
      </c>
    </row>
    <row r="74" spans="1:92">
      <c r="A74" t="s">
        <v>232</v>
      </c>
      <c r="B74" s="6">
        <v>45966.375</v>
      </c>
      <c r="C74" s="7">
        <v>45</v>
      </c>
      <c r="D74" s="7">
        <v>15</v>
      </c>
      <c r="E74" s="7">
        <v>1093.5</v>
      </c>
      <c r="F74" s="7">
        <v>48.02</v>
      </c>
      <c r="H74" s="7">
        <v>109.73</v>
      </c>
      <c r="I74" s="7">
        <f t="shared" si="4"/>
        <v>112.7</v>
      </c>
      <c r="J74" s="7">
        <v>50</v>
      </c>
      <c r="K74" s="7">
        <v>243</v>
      </c>
      <c r="L74" s="7">
        <v>249</v>
      </c>
      <c r="M74" s="7">
        <v>1.1499999999999999</v>
      </c>
      <c r="N74" s="7">
        <v>23</v>
      </c>
      <c r="Q74" s="7"/>
      <c r="R74">
        <v>3</v>
      </c>
      <c r="AA74" t="s">
        <v>228</v>
      </c>
      <c r="AB74" s="6">
        <v>45966.375</v>
      </c>
      <c r="AC74" t="s">
        <v>114</v>
      </c>
      <c r="AD74" t="s">
        <v>115</v>
      </c>
      <c r="AE74" t="s">
        <v>116</v>
      </c>
      <c r="AF74">
        <v>15</v>
      </c>
      <c r="AG74" t="s">
        <v>229</v>
      </c>
      <c r="AH74">
        <v>3</v>
      </c>
      <c r="AJ74" t="s">
        <v>118</v>
      </c>
      <c r="AK74" s="7">
        <v>22.6</v>
      </c>
      <c r="AN74">
        <v>29.11</v>
      </c>
      <c r="AO74">
        <v>17.940000000000001</v>
      </c>
      <c r="AP74">
        <v>222.43</v>
      </c>
      <c r="AT74" t="s">
        <v>119</v>
      </c>
      <c r="AU74" t="s">
        <v>133</v>
      </c>
      <c r="AV74" t="s">
        <v>121</v>
      </c>
      <c r="AY74" t="s">
        <v>122</v>
      </c>
      <c r="AZ74" t="s">
        <v>123</v>
      </c>
      <c r="BO74" t="s">
        <v>124</v>
      </c>
      <c r="BP74" t="s">
        <v>125</v>
      </c>
      <c r="BQ74" t="s">
        <v>228</v>
      </c>
      <c r="BR74" t="s">
        <v>228</v>
      </c>
      <c r="BS74" t="s">
        <v>230</v>
      </c>
      <c r="BX74" t="s">
        <v>127</v>
      </c>
      <c r="BY74" t="s">
        <v>128</v>
      </c>
      <c r="BZ74" t="s">
        <v>232</v>
      </c>
      <c r="CA74" t="s">
        <v>228</v>
      </c>
      <c r="CB74" s="7">
        <v>16.2</v>
      </c>
      <c r="CC74">
        <v>15</v>
      </c>
      <c r="CD74" s="7">
        <v>3</v>
      </c>
      <c r="CE74" s="7">
        <v>222.43</v>
      </c>
      <c r="CF74" s="7">
        <v>109.73</v>
      </c>
      <c r="CG74" s="7">
        <f t="shared" si="5"/>
        <v>112.7</v>
      </c>
      <c r="CH74" s="7">
        <v>29.11</v>
      </c>
      <c r="CI74" s="7">
        <v>13.98</v>
      </c>
      <c r="CJ74" s="7">
        <v>17.940000000000001</v>
      </c>
      <c r="CK74" s="6">
        <v>45966.375</v>
      </c>
      <c r="CL74" t="s">
        <v>5</v>
      </c>
      <c r="CN74" t="s">
        <v>129</v>
      </c>
    </row>
    <row r="75" spans="1:92">
      <c r="A75" t="s">
        <v>233</v>
      </c>
      <c r="B75" s="6">
        <v>45967.375</v>
      </c>
      <c r="C75" s="7">
        <v>69</v>
      </c>
      <c r="D75" s="7">
        <v>15</v>
      </c>
      <c r="E75" s="7">
        <v>1085.5</v>
      </c>
      <c r="F75" s="7">
        <v>58.62</v>
      </c>
      <c r="H75" s="7">
        <v>94.4</v>
      </c>
      <c r="I75" s="7">
        <f t="shared" si="4"/>
        <v>104.15</v>
      </c>
      <c r="J75" s="7">
        <v>29</v>
      </c>
      <c r="K75" s="7">
        <v>198</v>
      </c>
      <c r="L75" s="7">
        <v>191</v>
      </c>
      <c r="M75" s="7">
        <v>2.57</v>
      </c>
      <c r="N75" s="7">
        <v>53</v>
      </c>
      <c r="Q75" s="7"/>
      <c r="R75">
        <v>3</v>
      </c>
      <c r="AA75" t="s">
        <v>228</v>
      </c>
      <c r="AB75" s="6">
        <v>45967.375</v>
      </c>
      <c r="AC75" t="s">
        <v>114</v>
      </c>
      <c r="AD75" t="s">
        <v>115</v>
      </c>
      <c r="AE75" t="s">
        <v>116</v>
      </c>
      <c r="AF75">
        <v>15</v>
      </c>
      <c r="AG75" t="s">
        <v>229</v>
      </c>
      <c r="AH75">
        <v>3</v>
      </c>
      <c r="AJ75" t="s">
        <v>118</v>
      </c>
      <c r="AK75" s="7">
        <v>20.8</v>
      </c>
      <c r="AN75">
        <v>37.86</v>
      </c>
      <c r="AO75">
        <v>22.92</v>
      </c>
      <c r="AP75">
        <v>198.55</v>
      </c>
      <c r="AT75" t="s">
        <v>119</v>
      </c>
      <c r="AU75" t="s">
        <v>135</v>
      </c>
      <c r="AV75" t="s">
        <v>121</v>
      </c>
      <c r="AY75" t="s">
        <v>122</v>
      </c>
      <c r="AZ75" t="s">
        <v>123</v>
      </c>
      <c r="BO75" t="s">
        <v>124</v>
      </c>
      <c r="BP75" t="s">
        <v>125</v>
      </c>
      <c r="BQ75" t="s">
        <v>228</v>
      </c>
      <c r="BR75" t="s">
        <v>228</v>
      </c>
      <c r="BS75" t="s">
        <v>230</v>
      </c>
      <c r="BX75" t="s">
        <v>127</v>
      </c>
      <c r="BY75" t="s">
        <v>128</v>
      </c>
      <c r="BZ75" t="s">
        <v>233</v>
      </c>
      <c r="CA75" t="s">
        <v>228</v>
      </c>
      <c r="CB75" s="7">
        <v>16.5</v>
      </c>
      <c r="CC75">
        <v>15</v>
      </c>
      <c r="CD75" s="7">
        <v>3</v>
      </c>
      <c r="CE75" s="7">
        <v>198.55</v>
      </c>
      <c r="CF75" s="7">
        <v>94.4</v>
      </c>
      <c r="CG75" s="7">
        <f t="shared" si="5"/>
        <v>104.15</v>
      </c>
      <c r="CH75" s="7">
        <v>37.86</v>
      </c>
      <c r="CI75" s="7">
        <v>22.2</v>
      </c>
      <c r="CJ75" s="7">
        <v>22.92</v>
      </c>
      <c r="CK75" s="6">
        <v>45967.375</v>
      </c>
      <c r="CL75" t="s">
        <v>5</v>
      </c>
      <c r="CN75" t="s">
        <v>129</v>
      </c>
    </row>
    <row r="76" spans="1:92">
      <c r="A76" t="s">
        <v>234</v>
      </c>
      <c r="B76" s="6">
        <v>45968.395833333299</v>
      </c>
      <c r="C76" s="7">
        <v>93.5</v>
      </c>
      <c r="D76" s="7">
        <v>15</v>
      </c>
      <c r="E76" s="7">
        <v>1070.2</v>
      </c>
      <c r="F76" s="7">
        <v>67.62</v>
      </c>
      <c r="H76" s="7">
        <v>74.849999999999994</v>
      </c>
      <c r="I76" s="7">
        <f t="shared" si="4"/>
        <v>100.14000000000001</v>
      </c>
      <c r="J76" s="7">
        <v>61</v>
      </c>
      <c r="K76" s="7">
        <v>208</v>
      </c>
      <c r="L76" s="7">
        <v>232</v>
      </c>
      <c r="M76" s="7">
        <v>4.18</v>
      </c>
      <c r="N76" s="7">
        <v>78</v>
      </c>
      <c r="Q76" s="7">
        <v>3.55</v>
      </c>
      <c r="R76">
        <v>3</v>
      </c>
      <c r="AA76" t="s">
        <v>228</v>
      </c>
      <c r="AB76" s="6">
        <v>45968.395833333299</v>
      </c>
      <c r="AC76" t="s">
        <v>114</v>
      </c>
      <c r="AD76" t="s">
        <v>115</v>
      </c>
      <c r="AE76" t="s">
        <v>116</v>
      </c>
      <c r="AF76">
        <v>15</v>
      </c>
      <c r="AG76" t="s">
        <v>229</v>
      </c>
      <c r="AH76">
        <v>3</v>
      </c>
      <c r="AJ76" t="s">
        <v>118</v>
      </c>
      <c r="AK76" s="7">
        <v>17.5</v>
      </c>
      <c r="AN76">
        <v>80.41</v>
      </c>
      <c r="AO76">
        <v>17.38</v>
      </c>
      <c r="AP76">
        <v>174.99</v>
      </c>
      <c r="AT76" t="s">
        <v>119</v>
      </c>
      <c r="AU76" t="s">
        <v>137</v>
      </c>
      <c r="AV76" t="s">
        <v>121</v>
      </c>
      <c r="AY76" t="s">
        <v>122</v>
      </c>
      <c r="AZ76" t="s">
        <v>123</v>
      </c>
      <c r="BO76" t="s">
        <v>124</v>
      </c>
      <c r="BP76" t="s">
        <v>125</v>
      </c>
      <c r="BQ76" t="s">
        <v>228</v>
      </c>
      <c r="BR76" t="s">
        <v>228</v>
      </c>
      <c r="BS76" t="s">
        <v>230</v>
      </c>
      <c r="BX76" t="s">
        <v>127</v>
      </c>
      <c r="BY76" t="s">
        <v>128</v>
      </c>
      <c r="BZ76" t="s">
        <v>234</v>
      </c>
      <c r="CA76" t="s">
        <v>228</v>
      </c>
      <c r="CB76" s="7">
        <v>18.5</v>
      </c>
      <c r="CC76">
        <v>15</v>
      </c>
      <c r="CD76" s="7">
        <v>3</v>
      </c>
      <c r="CE76" s="7">
        <v>174.99</v>
      </c>
      <c r="CF76" s="7">
        <v>74.849999999999994</v>
      </c>
      <c r="CG76" s="7">
        <f t="shared" si="5"/>
        <v>100.14000000000001</v>
      </c>
      <c r="CH76" s="7">
        <v>80.41</v>
      </c>
      <c r="CI76" s="7">
        <v>54.38</v>
      </c>
      <c r="CJ76" s="7">
        <v>17.38</v>
      </c>
      <c r="CK76" s="6">
        <v>45968.395833333299</v>
      </c>
      <c r="CL76" t="s">
        <v>5</v>
      </c>
      <c r="CN76" t="s">
        <v>129</v>
      </c>
    </row>
    <row r="77" spans="1:92">
      <c r="A77" t="s">
        <v>235</v>
      </c>
      <c r="B77" s="6">
        <v>45971.395833333299</v>
      </c>
      <c r="C77" s="7">
        <v>165.5</v>
      </c>
      <c r="D77" s="7">
        <v>15</v>
      </c>
      <c r="E77" s="7">
        <v>1032.4000000000001</v>
      </c>
      <c r="F77" s="7">
        <v>68.8</v>
      </c>
      <c r="H77" s="7">
        <v>26.41</v>
      </c>
      <c r="I77" s="7">
        <f t="shared" si="4"/>
        <v>63.650000000000006</v>
      </c>
      <c r="J77" s="7">
        <v>49</v>
      </c>
      <c r="K77" s="7">
        <v>93</v>
      </c>
      <c r="L77" s="7">
        <v>126</v>
      </c>
      <c r="M77" s="7">
        <v>6.09</v>
      </c>
      <c r="N77" s="7">
        <v>43</v>
      </c>
      <c r="Q77" s="7">
        <v>8.4499999999999993</v>
      </c>
      <c r="R77">
        <v>3</v>
      </c>
      <c r="AA77" t="s">
        <v>228</v>
      </c>
      <c r="AB77" s="6">
        <v>45971.395833333299</v>
      </c>
      <c r="AC77" t="s">
        <v>114</v>
      </c>
      <c r="AD77" t="s">
        <v>115</v>
      </c>
      <c r="AE77" t="s">
        <v>116</v>
      </c>
      <c r="AF77">
        <v>15</v>
      </c>
      <c r="AG77" t="s">
        <v>229</v>
      </c>
      <c r="AH77">
        <v>3</v>
      </c>
      <c r="AJ77" t="s">
        <v>118</v>
      </c>
      <c r="AK77" s="7">
        <v>8.5</v>
      </c>
      <c r="AN77">
        <v>70.89</v>
      </c>
      <c r="AO77">
        <v>13.65</v>
      </c>
      <c r="AP77">
        <v>90.06</v>
      </c>
      <c r="AT77" t="s">
        <v>119</v>
      </c>
      <c r="AU77" t="s">
        <v>139</v>
      </c>
      <c r="AV77" t="s">
        <v>121</v>
      </c>
      <c r="AY77" t="s">
        <v>122</v>
      </c>
      <c r="AZ77" t="s">
        <v>123</v>
      </c>
      <c r="BO77" t="s">
        <v>124</v>
      </c>
      <c r="BP77" t="s">
        <v>125</v>
      </c>
      <c r="BQ77" t="s">
        <v>228</v>
      </c>
      <c r="BR77" t="s">
        <v>228</v>
      </c>
      <c r="BS77" t="s">
        <v>230</v>
      </c>
      <c r="BX77" t="s">
        <v>127</v>
      </c>
      <c r="BY77" t="s">
        <v>128</v>
      </c>
      <c r="BZ77" t="s">
        <v>235</v>
      </c>
      <c r="CA77" t="s">
        <v>228</v>
      </c>
      <c r="CB77" s="7">
        <v>18.3</v>
      </c>
      <c r="CC77">
        <v>15</v>
      </c>
      <c r="CD77" s="7">
        <v>3</v>
      </c>
      <c r="CE77" s="7">
        <v>90.06</v>
      </c>
      <c r="CF77" s="7">
        <v>26.41</v>
      </c>
      <c r="CG77" s="7">
        <f t="shared" si="5"/>
        <v>63.650000000000006</v>
      </c>
      <c r="CH77" s="7">
        <v>70.89</v>
      </c>
      <c r="CI77" s="7">
        <v>48.77</v>
      </c>
      <c r="CJ77" s="7">
        <v>13.65</v>
      </c>
      <c r="CK77" s="6">
        <v>45971.395833333299</v>
      </c>
      <c r="CL77" t="s">
        <v>5</v>
      </c>
      <c r="CN77" t="s">
        <v>129</v>
      </c>
    </row>
    <row r="78" spans="1:92">
      <c r="A78" t="s">
        <v>236</v>
      </c>
      <c r="B78" s="6">
        <v>45972.479166666701</v>
      </c>
      <c r="C78" s="7">
        <v>191.5</v>
      </c>
      <c r="D78" s="7">
        <v>15</v>
      </c>
      <c r="E78" s="7">
        <v>1024.0999999999999</v>
      </c>
      <c r="F78" s="7">
        <v>69</v>
      </c>
      <c r="H78" s="7">
        <v>17.21</v>
      </c>
      <c r="I78" s="7">
        <f t="shared" si="4"/>
        <v>52.51</v>
      </c>
      <c r="J78" s="7">
        <v>49</v>
      </c>
      <c r="K78" s="7">
        <v>83</v>
      </c>
      <c r="L78" s="7">
        <v>118</v>
      </c>
      <c r="M78" s="7">
        <v>6.73</v>
      </c>
      <c r="N78" s="7">
        <v>39</v>
      </c>
      <c r="Q78" s="7"/>
      <c r="R78">
        <v>3</v>
      </c>
      <c r="AA78" t="s">
        <v>228</v>
      </c>
      <c r="AB78" s="6">
        <v>45972.479166666701</v>
      </c>
      <c r="AC78" t="s">
        <v>114</v>
      </c>
      <c r="AD78" t="s">
        <v>115</v>
      </c>
      <c r="AE78" t="s">
        <v>116</v>
      </c>
      <c r="AF78">
        <v>15</v>
      </c>
      <c r="AG78" t="s">
        <v>229</v>
      </c>
      <c r="AH78">
        <v>3</v>
      </c>
      <c r="AJ78" t="s">
        <v>118</v>
      </c>
      <c r="AK78" s="7">
        <v>6.4</v>
      </c>
      <c r="AN78">
        <v>81.260000000000005</v>
      </c>
      <c r="AO78">
        <v>9.83</v>
      </c>
      <c r="AP78">
        <v>69.72</v>
      </c>
      <c r="AT78" t="s">
        <v>119</v>
      </c>
      <c r="AU78" t="s">
        <v>141</v>
      </c>
      <c r="AV78" t="s">
        <v>121</v>
      </c>
      <c r="AY78" t="s">
        <v>122</v>
      </c>
      <c r="AZ78" t="s">
        <v>123</v>
      </c>
      <c r="BO78" t="s">
        <v>124</v>
      </c>
      <c r="BP78" t="s">
        <v>125</v>
      </c>
      <c r="BQ78" t="s">
        <v>228</v>
      </c>
      <c r="BR78" t="s">
        <v>228</v>
      </c>
      <c r="BS78" t="s">
        <v>230</v>
      </c>
      <c r="BX78" t="s">
        <v>127</v>
      </c>
      <c r="BY78" t="s">
        <v>128</v>
      </c>
      <c r="BZ78" t="s">
        <v>236</v>
      </c>
      <c r="CA78" t="s">
        <v>228</v>
      </c>
      <c r="CB78" s="7">
        <v>16.2</v>
      </c>
      <c r="CC78">
        <v>15</v>
      </c>
      <c r="CD78" s="7">
        <v>3</v>
      </c>
      <c r="CE78" s="7">
        <v>69.72</v>
      </c>
      <c r="CF78" s="7">
        <v>17.21</v>
      </c>
      <c r="CG78" s="7">
        <f t="shared" si="5"/>
        <v>52.51</v>
      </c>
      <c r="CH78" s="7">
        <v>81.260000000000005</v>
      </c>
      <c r="CI78" s="7">
        <v>56.07</v>
      </c>
      <c r="CJ78" s="7">
        <v>9.83</v>
      </c>
      <c r="CK78" s="6">
        <v>45972.479166666701</v>
      </c>
      <c r="CL78" t="s">
        <v>5</v>
      </c>
      <c r="CN78" t="s">
        <v>129</v>
      </c>
    </row>
    <row r="79" spans="1:92">
      <c r="A79" t="s">
        <v>237</v>
      </c>
      <c r="B79" s="6">
        <v>45973.375</v>
      </c>
      <c r="C79" s="7">
        <v>213</v>
      </c>
      <c r="D79" s="7">
        <v>15</v>
      </c>
      <c r="E79" s="7">
        <v>1016.3</v>
      </c>
      <c r="F79" s="7">
        <v>71.760000000000005</v>
      </c>
      <c r="H79" s="7">
        <v>11.15</v>
      </c>
      <c r="I79" s="7">
        <f t="shared" si="4"/>
        <v>43</v>
      </c>
      <c r="J79" s="7">
        <v>44</v>
      </c>
      <c r="K79" s="7">
        <v>82</v>
      </c>
      <c r="L79" s="7">
        <v>111</v>
      </c>
      <c r="M79" s="7">
        <v>7.39</v>
      </c>
      <c r="N79" s="7">
        <v>27</v>
      </c>
      <c r="Q79" s="7">
        <v>10.8</v>
      </c>
      <c r="R79">
        <v>3</v>
      </c>
      <c r="AA79" t="s">
        <v>228</v>
      </c>
      <c r="AB79" s="6">
        <v>45973.375</v>
      </c>
      <c r="AC79" t="s">
        <v>114</v>
      </c>
      <c r="AD79" t="s">
        <v>115</v>
      </c>
      <c r="AE79" t="s">
        <v>116</v>
      </c>
      <c r="AF79">
        <v>15</v>
      </c>
      <c r="AG79" t="s">
        <v>229</v>
      </c>
      <c r="AH79">
        <v>3</v>
      </c>
      <c r="AJ79" t="s">
        <v>118</v>
      </c>
      <c r="AK79" s="7">
        <v>4.5</v>
      </c>
      <c r="AN79">
        <v>77.8</v>
      </c>
      <c r="AO79">
        <v>14.71</v>
      </c>
      <c r="AP79">
        <v>54.15</v>
      </c>
      <c r="AT79" t="s">
        <v>119</v>
      </c>
      <c r="AU79" t="s">
        <v>143</v>
      </c>
      <c r="AV79" t="s">
        <v>121</v>
      </c>
      <c r="AY79" t="s">
        <v>122</v>
      </c>
      <c r="AZ79" t="s">
        <v>123</v>
      </c>
      <c r="BO79" t="s">
        <v>124</v>
      </c>
      <c r="BP79" t="s">
        <v>125</v>
      </c>
      <c r="BQ79" t="s">
        <v>228</v>
      </c>
      <c r="BR79" t="s">
        <v>228</v>
      </c>
      <c r="BS79" t="s">
        <v>230</v>
      </c>
      <c r="BX79" t="s">
        <v>127</v>
      </c>
      <c r="BY79" t="s">
        <v>128</v>
      </c>
      <c r="BZ79" t="s">
        <v>237</v>
      </c>
      <c r="CA79" t="s">
        <v>228</v>
      </c>
      <c r="CB79" s="7">
        <v>18.100000000000001</v>
      </c>
      <c r="CC79">
        <v>15</v>
      </c>
      <c r="CD79" s="7">
        <v>3</v>
      </c>
      <c r="CE79" s="7">
        <v>54.15</v>
      </c>
      <c r="CF79" s="7">
        <v>11.15</v>
      </c>
      <c r="CG79" s="7">
        <f t="shared" si="5"/>
        <v>43</v>
      </c>
      <c r="CH79" s="7">
        <v>77.8</v>
      </c>
      <c r="CI79" s="7">
        <v>55.76</v>
      </c>
      <c r="CJ79" s="7">
        <v>14.71</v>
      </c>
      <c r="CK79" s="6">
        <v>45973.375</v>
      </c>
      <c r="CL79" t="s">
        <v>5</v>
      </c>
      <c r="CN79" t="s">
        <v>129</v>
      </c>
    </row>
    <row r="80" spans="1:92">
      <c r="A80" t="s">
        <v>238</v>
      </c>
      <c r="B80" s="6">
        <v>45964.708333333299</v>
      </c>
      <c r="C80" s="7">
        <v>0</v>
      </c>
      <c r="D80" s="7">
        <v>23</v>
      </c>
      <c r="E80" s="7">
        <v>1098.5</v>
      </c>
      <c r="F80" s="7"/>
      <c r="H80" s="7">
        <v>125.22</v>
      </c>
      <c r="I80" s="7">
        <f t="shared" si="4"/>
        <v>116.88</v>
      </c>
      <c r="J80" s="7">
        <v>18</v>
      </c>
      <c r="K80" s="7">
        <v>240</v>
      </c>
      <c r="L80" s="7">
        <v>214</v>
      </c>
      <c r="M80" s="7">
        <v>0.08</v>
      </c>
      <c r="N80" s="7">
        <v>4</v>
      </c>
      <c r="Q80" s="7">
        <v>0</v>
      </c>
      <c r="R80">
        <v>3</v>
      </c>
      <c r="AA80" t="s">
        <v>239</v>
      </c>
      <c r="AB80" s="6">
        <v>45964.708333333299</v>
      </c>
      <c r="AC80" t="s">
        <v>114</v>
      </c>
      <c r="AD80" t="s">
        <v>115</v>
      </c>
      <c r="AE80" t="s">
        <v>116</v>
      </c>
      <c r="AF80">
        <v>23</v>
      </c>
      <c r="AG80" t="s">
        <v>240</v>
      </c>
      <c r="AH80">
        <v>3</v>
      </c>
      <c r="AJ80" t="s">
        <v>118</v>
      </c>
      <c r="AK80" s="7">
        <v>24.1</v>
      </c>
      <c r="AN80">
        <v>15</v>
      </c>
      <c r="AP80">
        <v>242.1</v>
      </c>
      <c r="AT80" t="s">
        <v>119</v>
      </c>
      <c r="AU80" t="s">
        <v>120</v>
      </c>
      <c r="AV80" t="s">
        <v>121</v>
      </c>
      <c r="AY80" t="s">
        <v>122</v>
      </c>
      <c r="AZ80" t="s">
        <v>123</v>
      </c>
      <c r="BO80" t="s">
        <v>124</v>
      </c>
      <c r="BP80" t="s">
        <v>125</v>
      </c>
      <c r="BQ80" t="s">
        <v>239</v>
      </c>
      <c r="BR80" t="s">
        <v>239</v>
      </c>
      <c r="BS80" t="s">
        <v>241</v>
      </c>
      <c r="BX80" t="s">
        <v>127</v>
      </c>
      <c r="BY80" t="s">
        <v>128</v>
      </c>
      <c r="BZ80" t="s">
        <v>238</v>
      </c>
      <c r="CA80" t="s">
        <v>239</v>
      </c>
      <c r="CB80" s="7">
        <v>23.4</v>
      </c>
      <c r="CC80">
        <v>23</v>
      </c>
      <c r="CD80" s="7">
        <v>3</v>
      </c>
      <c r="CE80" s="7">
        <v>242.1</v>
      </c>
      <c r="CF80" s="7">
        <v>125.22</v>
      </c>
      <c r="CG80" s="7">
        <f t="shared" si="5"/>
        <v>116.88</v>
      </c>
      <c r="CH80" s="7">
        <v>15</v>
      </c>
      <c r="CI80" s="7"/>
      <c r="CJ80" s="7"/>
      <c r="CK80" s="6">
        <v>45964.708333333299</v>
      </c>
      <c r="CL80" t="s">
        <v>5</v>
      </c>
      <c r="CN80" t="s">
        <v>129</v>
      </c>
    </row>
    <row r="81" spans="1:92">
      <c r="A81" t="s">
        <v>242</v>
      </c>
      <c r="B81" s="6">
        <v>45965.416666666701</v>
      </c>
      <c r="C81" s="7">
        <v>17</v>
      </c>
      <c r="D81" s="7">
        <v>23</v>
      </c>
      <c r="E81" s="7">
        <v>1094.3</v>
      </c>
      <c r="F81" s="7">
        <v>60.34</v>
      </c>
      <c r="H81" s="7">
        <v>113.46</v>
      </c>
      <c r="I81" s="7">
        <f t="shared" si="4"/>
        <v>117.3</v>
      </c>
      <c r="J81" s="7">
        <v>49</v>
      </c>
      <c r="K81" s="7">
        <v>247</v>
      </c>
      <c r="L81" s="7">
        <v>252</v>
      </c>
      <c r="M81" s="7">
        <v>1.4</v>
      </c>
      <c r="N81" s="7">
        <v>34</v>
      </c>
      <c r="Q81" s="7"/>
      <c r="R81">
        <v>3</v>
      </c>
      <c r="AA81" t="s">
        <v>239</v>
      </c>
      <c r="AB81" s="6">
        <v>45965.416666666701</v>
      </c>
      <c r="AC81" t="s">
        <v>114</v>
      </c>
      <c r="AD81" t="s">
        <v>115</v>
      </c>
      <c r="AE81" t="s">
        <v>116</v>
      </c>
      <c r="AF81">
        <v>23</v>
      </c>
      <c r="AG81" t="s">
        <v>240</v>
      </c>
      <c r="AH81">
        <v>3</v>
      </c>
      <c r="AJ81" t="s">
        <v>118</v>
      </c>
      <c r="AK81" s="7">
        <v>23.2</v>
      </c>
      <c r="AN81">
        <v>27.11</v>
      </c>
      <c r="AO81">
        <v>15.86</v>
      </c>
      <c r="AP81">
        <v>230.76</v>
      </c>
      <c r="AT81" t="s">
        <v>119</v>
      </c>
      <c r="AU81" t="s">
        <v>131</v>
      </c>
      <c r="AV81" t="s">
        <v>121</v>
      </c>
      <c r="AY81" t="s">
        <v>122</v>
      </c>
      <c r="AZ81" t="s">
        <v>123</v>
      </c>
      <c r="BO81" t="s">
        <v>124</v>
      </c>
      <c r="BP81" t="s">
        <v>125</v>
      </c>
      <c r="BQ81" t="s">
        <v>239</v>
      </c>
      <c r="BR81" t="s">
        <v>239</v>
      </c>
      <c r="BS81" t="s">
        <v>241</v>
      </c>
      <c r="BX81" t="s">
        <v>127</v>
      </c>
      <c r="BY81" t="s">
        <v>128</v>
      </c>
      <c r="BZ81" t="s">
        <v>242</v>
      </c>
      <c r="CA81" t="s">
        <v>239</v>
      </c>
      <c r="CB81" s="7">
        <v>22.7</v>
      </c>
      <c r="CC81">
        <v>23</v>
      </c>
      <c r="CD81" s="7">
        <v>3</v>
      </c>
      <c r="CE81" s="7">
        <v>230.76</v>
      </c>
      <c r="CF81" s="7">
        <v>113.46</v>
      </c>
      <c r="CG81" s="7">
        <f t="shared" si="5"/>
        <v>117.3</v>
      </c>
      <c r="CH81" s="7">
        <v>27.11</v>
      </c>
      <c r="CI81" s="7">
        <v>16.36</v>
      </c>
      <c r="CJ81" s="7">
        <v>15.86</v>
      </c>
      <c r="CK81" s="6">
        <v>45965.416666666701</v>
      </c>
      <c r="CL81" t="s">
        <v>5</v>
      </c>
      <c r="CN81" t="s">
        <v>129</v>
      </c>
    </row>
    <row r="82" spans="1:92">
      <c r="A82" t="s">
        <v>243</v>
      </c>
      <c r="B82" s="6">
        <v>45966.375</v>
      </c>
      <c r="C82" s="7">
        <v>40</v>
      </c>
      <c r="D82" s="7">
        <v>23</v>
      </c>
      <c r="E82" s="7">
        <v>1067.4000000000001</v>
      </c>
      <c r="F82" s="7">
        <v>72.7</v>
      </c>
      <c r="H82" s="7">
        <v>72.34</v>
      </c>
      <c r="I82" s="7">
        <f t="shared" si="4"/>
        <v>97.199999999999989</v>
      </c>
      <c r="J82" s="7">
        <v>17</v>
      </c>
      <c r="K82" s="7">
        <v>74</v>
      </c>
      <c r="L82" s="7">
        <v>77</v>
      </c>
      <c r="M82" s="7">
        <v>4.84</v>
      </c>
      <c r="N82" s="7">
        <v>91</v>
      </c>
      <c r="Q82" s="7"/>
      <c r="R82">
        <v>3</v>
      </c>
      <c r="AA82" t="s">
        <v>239</v>
      </c>
      <c r="AB82" s="6">
        <v>45966.375</v>
      </c>
      <c r="AC82" t="s">
        <v>114</v>
      </c>
      <c r="AD82" t="s">
        <v>115</v>
      </c>
      <c r="AE82" t="s">
        <v>116</v>
      </c>
      <c r="AF82">
        <v>23</v>
      </c>
      <c r="AG82" t="s">
        <v>240</v>
      </c>
      <c r="AH82">
        <v>3</v>
      </c>
      <c r="AJ82" t="s">
        <v>118</v>
      </c>
      <c r="AK82" s="7">
        <v>17.100000000000001</v>
      </c>
      <c r="AN82">
        <v>58.53</v>
      </c>
      <c r="AO82">
        <v>13.78</v>
      </c>
      <c r="AP82">
        <v>169.54</v>
      </c>
      <c r="AT82" t="s">
        <v>119</v>
      </c>
      <c r="AU82" t="s">
        <v>133</v>
      </c>
      <c r="AV82" t="s">
        <v>121</v>
      </c>
      <c r="AY82" t="s">
        <v>122</v>
      </c>
      <c r="AZ82" t="s">
        <v>123</v>
      </c>
      <c r="BO82" t="s">
        <v>124</v>
      </c>
      <c r="BP82" t="s">
        <v>125</v>
      </c>
      <c r="BQ82" t="s">
        <v>239</v>
      </c>
      <c r="BR82" t="s">
        <v>239</v>
      </c>
      <c r="BS82" t="s">
        <v>241</v>
      </c>
      <c r="BX82" t="s">
        <v>127</v>
      </c>
      <c r="BY82" t="s">
        <v>128</v>
      </c>
      <c r="BZ82" t="s">
        <v>243</v>
      </c>
      <c r="CA82" t="s">
        <v>239</v>
      </c>
      <c r="CB82" s="7">
        <v>23</v>
      </c>
      <c r="CC82">
        <v>23</v>
      </c>
      <c r="CD82" s="7">
        <v>3</v>
      </c>
      <c r="CE82" s="7">
        <v>169.54</v>
      </c>
      <c r="CF82" s="7">
        <v>72.34</v>
      </c>
      <c r="CG82" s="7">
        <f t="shared" si="5"/>
        <v>97.199999999999989</v>
      </c>
      <c r="CH82" s="7">
        <v>58.53</v>
      </c>
      <c r="CI82" s="7">
        <v>42.55</v>
      </c>
      <c r="CJ82" s="7">
        <v>13.78</v>
      </c>
      <c r="CK82" s="6">
        <v>45966.375</v>
      </c>
      <c r="CL82" t="s">
        <v>5</v>
      </c>
      <c r="CN82" t="s">
        <v>129</v>
      </c>
    </row>
    <row r="83" spans="1:92">
      <c r="A83" t="s">
        <v>244</v>
      </c>
      <c r="B83" s="6">
        <v>45967.375</v>
      </c>
      <c r="C83" s="7">
        <v>64</v>
      </c>
      <c r="D83" s="7">
        <v>23</v>
      </c>
      <c r="E83" s="7">
        <v>1041.7</v>
      </c>
      <c r="F83" s="7">
        <v>74.67</v>
      </c>
      <c r="H83" s="7">
        <v>39.090000000000003</v>
      </c>
      <c r="I83" s="7">
        <f t="shared" si="4"/>
        <v>75.33</v>
      </c>
      <c r="J83" s="7">
        <v>17</v>
      </c>
      <c r="K83" s="7">
        <v>11</v>
      </c>
      <c r="L83" s="7">
        <v>26</v>
      </c>
      <c r="M83" s="7">
        <v>6.39</v>
      </c>
      <c r="N83" s="7">
        <v>66</v>
      </c>
      <c r="Q83" s="7"/>
      <c r="R83">
        <v>3</v>
      </c>
      <c r="AA83" t="s">
        <v>239</v>
      </c>
      <c r="AB83" s="6">
        <v>45967.375</v>
      </c>
      <c r="AC83" t="s">
        <v>114</v>
      </c>
      <c r="AD83" t="s">
        <v>115</v>
      </c>
      <c r="AE83" t="s">
        <v>116</v>
      </c>
      <c r="AF83">
        <v>23</v>
      </c>
      <c r="AG83" t="s">
        <v>240</v>
      </c>
      <c r="AH83">
        <v>3</v>
      </c>
      <c r="AJ83" t="s">
        <v>118</v>
      </c>
      <c r="AK83" s="7">
        <v>11.1</v>
      </c>
      <c r="AN83">
        <v>64.290000000000006</v>
      </c>
      <c r="AO83">
        <v>9.08</v>
      </c>
      <c r="AP83">
        <v>114.42</v>
      </c>
      <c r="AT83" t="s">
        <v>119</v>
      </c>
      <c r="AU83" t="s">
        <v>135</v>
      </c>
      <c r="AV83" t="s">
        <v>121</v>
      </c>
      <c r="AY83" t="s">
        <v>122</v>
      </c>
      <c r="AZ83" t="s">
        <v>123</v>
      </c>
      <c r="BO83" t="s">
        <v>124</v>
      </c>
      <c r="BP83" t="s">
        <v>125</v>
      </c>
      <c r="BQ83" t="s">
        <v>239</v>
      </c>
      <c r="BR83" t="s">
        <v>239</v>
      </c>
      <c r="BS83" t="s">
        <v>241</v>
      </c>
      <c r="BX83" t="s">
        <v>127</v>
      </c>
      <c r="BY83" t="s">
        <v>128</v>
      </c>
      <c r="BZ83" t="s">
        <v>244</v>
      </c>
      <c r="CA83" t="s">
        <v>239</v>
      </c>
      <c r="CB83" s="7">
        <v>23</v>
      </c>
      <c r="CC83">
        <v>23</v>
      </c>
      <c r="CD83" s="7">
        <v>3</v>
      </c>
      <c r="CE83" s="7">
        <v>114.42</v>
      </c>
      <c r="CF83" s="7">
        <v>39.090000000000003</v>
      </c>
      <c r="CG83" s="7">
        <f t="shared" si="5"/>
        <v>75.33</v>
      </c>
      <c r="CH83" s="7">
        <v>64.290000000000006</v>
      </c>
      <c r="CI83" s="7">
        <v>48</v>
      </c>
      <c r="CJ83" s="7">
        <v>9.08</v>
      </c>
      <c r="CK83" s="6">
        <v>45967.375</v>
      </c>
      <c r="CL83" t="s">
        <v>5</v>
      </c>
      <c r="CN83" t="s">
        <v>129</v>
      </c>
    </row>
    <row r="84" spans="1:92">
      <c r="A84" t="s">
        <v>245</v>
      </c>
      <c r="B84" s="6">
        <v>45968.395833333299</v>
      </c>
      <c r="C84" s="7">
        <v>88.5</v>
      </c>
      <c r="D84" s="7">
        <v>23</v>
      </c>
      <c r="E84" s="7">
        <v>1024.0999999999999</v>
      </c>
      <c r="F84" s="7">
        <v>63.33</v>
      </c>
      <c r="H84" s="7">
        <v>20.309999999999999</v>
      </c>
      <c r="I84" s="7">
        <f t="shared" si="4"/>
        <v>55.349999999999994</v>
      </c>
      <c r="J84" s="7">
        <v>75</v>
      </c>
      <c r="K84" s="7">
        <v>68</v>
      </c>
      <c r="L84" s="7">
        <v>130</v>
      </c>
      <c r="M84" s="7">
        <v>6.78</v>
      </c>
      <c r="N84" s="7">
        <v>52</v>
      </c>
      <c r="Q84" s="7">
        <v>9.61</v>
      </c>
      <c r="R84">
        <v>3</v>
      </c>
      <c r="AA84" t="s">
        <v>239</v>
      </c>
      <c r="AB84" s="6">
        <v>45968.395833333299</v>
      </c>
      <c r="AC84" t="s">
        <v>114</v>
      </c>
      <c r="AD84" t="s">
        <v>115</v>
      </c>
      <c r="AE84" t="s">
        <v>116</v>
      </c>
      <c r="AF84">
        <v>23</v>
      </c>
      <c r="AG84" t="s">
        <v>240</v>
      </c>
      <c r="AH84">
        <v>3</v>
      </c>
      <c r="AJ84" t="s">
        <v>118</v>
      </c>
      <c r="AK84" s="7">
        <v>6.8</v>
      </c>
      <c r="AN84">
        <v>76.650000000000006</v>
      </c>
      <c r="AO84">
        <v>12.53</v>
      </c>
      <c r="AP84">
        <v>75.66</v>
      </c>
      <c r="AT84" t="s">
        <v>119</v>
      </c>
      <c r="AU84" t="s">
        <v>137</v>
      </c>
      <c r="AV84" t="s">
        <v>121</v>
      </c>
      <c r="AY84" t="s">
        <v>122</v>
      </c>
      <c r="AZ84" t="s">
        <v>123</v>
      </c>
      <c r="BO84" t="s">
        <v>124</v>
      </c>
      <c r="BP84" t="s">
        <v>125</v>
      </c>
      <c r="BQ84" t="s">
        <v>239</v>
      </c>
      <c r="BR84" t="s">
        <v>239</v>
      </c>
      <c r="BS84" t="s">
        <v>241</v>
      </c>
      <c r="BX84" t="s">
        <v>127</v>
      </c>
      <c r="BY84" t="s">
        <v>128</v>
      </c>
      <c r="BZ84" t="s">
        <v>245</v>
      </c>
      <c r="CA84" t="s">
        <v>239</v>
      </c>
      <c r="CB84" s="7">
        <v>22.9</v>
      </c>
      <c r="CC84">
        <v>23</v>
      </c>
      <c r="CD84" s="7">
        <v>3</v>
      </c>
      <c r="CE84" s="7">
        <v>75.66</v>
      </c>
      <c r="CF84" s="7">
        <v>20.309999999999999</v>
      </c>
      <c r="CG84" s="7">
        <f t="shared" si="5"/>
        <v>55.349999999999994</v>
      </c>
      <c r="CH84" s="7">
        <v>76.650000000000006</v>
      </c>
      <c r="CI84" s="7">
        <v>48.54</v>
      </c>
      <c r="CJ84" s="7">
        <v>12.53</v>
      </c>
      <c r="CK84" s="6">
        <v>45968.395833333299</v>
      </c>
      <c r="CL84" t="s">
        <v>5</v>
      </c>
      <c r="CN84" t="s">
        <v>129</v>
      </c>
    </row>
    <row r="85" spans="1:92">
      <c r="A85" t="s">
        <v>246</v>
      </c>
      <c r="B85" s="6">
        <v>45971.395833333299</v>
      </c>
      <c r="C85" s="7">
        <v>160.5</v>
      </c>
      <c r="D85" s="7">
        <v>23</v>
      </c>
      <c r="E85" s="7">
        <v>994.3</v>
      </c>
      <c r="F85" s="7">
        <v>58.31</v>
      </c>
      <c r="H85" s="7">
        <v>1.43</v>
      </c>
      <c r="I85" s="7">
        <f t="shared" si="4"/>
        <v>9.7000000000000011</v>
      </c>
      <c r="J85" s="7">
        <v>72</v>
      </c>
      <c r="K85" s="7">
        <v>62</v>
      </c>
      <c r="L85" s="7">
        <v>123</v>
      </c>
      <c r="M85" s="7">
        <v>7.37</v>
      </c>
      <c r="N85" s="7">
        <v>33</v>
      </c>
      <c r="Q85" s="7">
        <v>13.8</v>
      </c>
      <c r="R85">
        <v>3</v>
      </c>
      <c r="AA85" t="s">
        <v>239</v>
      </c>
      <c r="AB85" s="6">
        <v>45971.395833333299</v>
      </c>
      <c r="AC85" t="s">
        <v>114</v>
      </c>
      <c r="AD85" t="s">
        <v>115</v>
      </c>
      <c r="AE85" t="s">
        <v>116</v>
      </c>
      <c r="AF85">
        <v>23</v>
      </c>
      <c r="AG85" t="s">
        <v>240</v>
      </c>
      <c r="AH85">
        <v>3</v>
      </c>
      <c r="AJ85" t="s">
        <v>118</v>
      </c>
      <c r="AK85" s="7">
        <v>-0.8</v>
      </c>
      <c r="AN85">
        <v>73.5</v>
      </c>
      <c r="AO85">
        <v>9.1999999999999993</v>
      </c>
      <c r="AP85">
        <v>11.13</v>
      </c>
      <c r="AT85" t="s">
        <v>119</v>
      </c>
      <c r="AU85" t="s">
        <v>139</v>
      </c>
      <c r="AV85" t="s">
        <v>121</v>
      </c>
      <c r="AY85" t="s">
        <v>122</v>
      </c>
      <c r="AZ85" t="s">
        <v>123</v>
      </c>
      <c r="BO85" t="s">
        <v>124</v>
      </c>
      <c r="BP85" t="s">
        <v>125</v>
      </c>
      <c r="BQ85" t="s">
        <v>239</v>
      </c>
      <c r="BR85" t="s">
        <v>239</v>
      </c>
      <c r="BS85" t="s">
        <v>241</v>
      </c>
      <c r="BX85" t="s">
        <v>127</v>
      </c>
      <c r="BY85" t="s">
        <v>128</v>
      </c>
      <c r="BZ85" t="s">
        <v>246</v>
      </c>
      <c r="CA85" t="s">
        <v>239</v>
      </c>
      <c r="CB85" s="7">
        <v>22.9</v>
      </c>
      <c r="CC85">
        <v>23</v>
      </c>
      <c r="CD85" s="7">
        <v>3</v>
      </c>
      <c r="CE85" s="7">
        <v>11.13</v>
      </c>
      <c r="CF85" s="7">
        <v>1.43</v>
      </c>
      <c r="CG85" s="7">
        <f t="shared" si="5"/>
        <v>9.7000000000000011</v>
      </c>
      <c r="CH85" s="7">
        <v>73.5</v>
      </c>
      <c r="CI85" s="7">
        <v>42.86</v>
      </c>
      <c r="CJ85" s="7">
        <v>9.1999999999999993</v>
      </c>
      <c r="CK85" s="6">
        <v>45971.395833333299</v>
      </c>
      <c r="CL85" t="s">
        <v>5</v>
      </c>
      <c r="CN85" t="s">
        <v>129</v>
      </c>
    </row>
    <row r="86" spans="1:92">
      <c r="A86" t="s">
        <v>247</v>
      </c>
      <c r="B86" s="6">
        <v>45972.479166666701</v>
      </c>
      <c r="C86" s="7">
        <v>186.5</v>
      </c>
      <c r="D86" s="7">
        <v>23</v>
      </c>
      <c r="E86" s="7">
        <v>989.5</v>
      </c>
      <c r="F86" s="7">
        <v>55.64</v>
      </c>
      <c r="H86" s="7">
        <v>0.93</v>
      </c>
      <c r="I86" s="7">
        <f t="shared" si="4"/>
        <v>0.71999999999999986</v>
      </c>
      <c r="J86" s="7">
        <v>81</v>
      </c>
      <c r="K86" s="7">
        <v>68</v>
      </c>
      <c r="L86" s="7">
        <v>137</v>
      </c>
      <c r="M86" s="7">
        <v>7.9</v>
      </c>
      <c r="N86" s="7">
        <v>32</v>
      </c>
      <c r="Q86" s="7"/>
      <c r="R86">
        <v>3</v>
      </c>
      <c r="AA86" t="s">
        <v>239</v>
      </c>
      <c r="AB86" s="6">
        <v>45972.479166666701</v>
      </c>
      <c r="AC86" t="s">
        <v>114</v>
      </c>
      <c r="AD86" t="s">
        <v>115</v>
      </c>
      <c r="AE86" t="s">
        <v>116</v>
      </c>
      <c r="AF86">
        <v>23</v>
      </c>
      <c r="AG86" t="s">
        <v>240</v>
      </c>
      <c r="AH86">
        <v>3</v>
      </c>
      <c r="AJ86" t="s">
        <v>118</v>
      </c>
      <c r="AK86" s="7">
        <v>-2.1</v>
      </c>
      <c r="AN86">
        <v>74.959999999999994</v>
      </c>
      <c r="AO86">
        <v>9.73</v>
      </c>
      <c r="AP86">
        <v>1.65</v>
      </c>
      <c r="AT86" t="s">
        <v>119</v>
      </c>
      <c r="AU86" t="s">
        <v>141</v>
      </c>
      <c r="AV86" t="s">
        <v>121</v>
      </c>
      <c r="AY86" t="s">
        <v>122</v>
      </c>
      <c r="AZ86" t="s">
        <v>123</v>
      </c>
      <c r="BO86" t="s">
        <v>124</v>
      </c>
      <c r="BP86" t="s">
        <v>125</v>
      </c>
      <c r="BQ86" t="s">
        <v>239</v>
      </c>
      <c r="BR86" t="s">
        <v>239</v>
      </c>
      <c r="BS86" t="s">
        <v>241</v>
      </c>
      <c r="BX86" t="s">
        <v>127</v>
      </c>
      <c r="BY86" t="s">
        <v>128</v>
      </c>
      <c r="BZ86" t="s">
        <v>247</v>
      </c>
      <c r="CA86" t="s">
        <v>239</v>
      </c>
      <c r="CB86" s="7">
        <v>22.8</v>
      </c>
      <c r="CC86">
        <v>23</v>
      </c>
      <c r="CD86" s="7">
        <v>3</v>
      </c>
      <c r="CE86" s="7">
        <v>1.65</v>
      </c>
      <c r="CF86" s="7">
        <v>0.93</v>
      </c>
      <c r="CG86" s="7">
        <f t="shared" si="5"/>
        <v>0.71999999999999986</v>
      </c>
      <c r="CH86" s="7">
        <v>74.959999999999994</v>
      </c>
      <c r="CI86" s="7">
        <v>41.71</v>
      </c>
      <c r="CJ86" s="7">
        <v>9.73</v>
      </c>
      <c r="CK86" s="6">
        <v>45972.479166666701</v>
      </c>
      <c r="CL86" t="s">
        <v>5</v>
      </c>
      <c r="CN86" t="s">
        <v>129</v>
      </c>
    </row>
    <row r="87" spans="1:92">
      <c r="A87" t="s">
        <v>248</v>
      </c>
      <c r="B87" s="6">
        <v>45973.375</v>
      </c>
      <c r="C87" s="7">
        <v>208</v>
      </c>
      <c r="D87" s="7">
        <v>23</v>
      </c>
      <c r="E87" s="7">
        <v>989</v>
      </c>
      <c r="F87" s="7">
        <v>54.08</v>
      </c>
      <c r="H87" s="7">
        <v>0.6</v>
      </c>
      <c r="I87" s="7">
        <f t="shared" si="4"/>
        <v>0.12</v>
      </c>
      <c r="J87" s="7">
        <v>77</v>
      </c>
      <c r="K87" s="7">
        <v>63</v>
      </c>
      <c r="L87" s="7">
        <v>129</v>
      </c>
      <c r="M87" s="7">
        <v>7.86</v>
      </c>
      <c r="N87" s="7">
        <v>30</v>
      </c>
      <c r="Q87" s="7">
        <v>14.5</v>
      </c>
      <c r="R87">
        <v>3</v>
      </c>
      <c r="AA87" t="s">
        <v>239</v>
      </c>
      <c r="AB87" s="6">
        <v>45973.375</v>
      </c>
      <c r="AC87" t="s">
        <v>114</v>
      </c>
      <c r="AD87" t="s">
        <v>115</v>
      </c>
      <c r="AE87" t="s">
        <v>116</v>
      </c>
      <c r="AF87">
        <v>23</v>
      </c>
      <c r="AG87" t="s">
        <v>240</v>
      </c>
      <c r="AH87">
        <v>3</v>
      </c>
      <c r="AJ87" t="s">
        <v>118</v>
      </c>
      <c r="AK87" s="7">
        <v>-2.2000000000000002</v>
      </c>
      <c r="AN87">
        <v>72.430000000000007</v>
      </c>
      <c r="AO87">
        <v>11.13</v>
      </c>
      <c r="AP87">
        <v>0.72</v>
      </c>
      <c r="AT87" t="s">
        <v>119</v>
      </c>
      <c r="AU87" t="s">
        <v>143</v>
      </c>
      <c r="AV87" t="s">
        <v>121</v>
      </c>
      <c r="AY87" t="s">
        <v>122</v>
      </c>
      <c r="AZ87" t="s">
        <v>123</v>
      </c>
      <c r="BO87" t="s">
        <v>124</v>
      </c>
      <c r="BP87" t="s">
        <v>125</v>
      </c>
      <c r="BQ87" t="s">
        <v>239</v>
      </c>
      <c r="BR87" t="s">
        <v>239</v>
      </c>
      <c r="BS87" t="s">
        <v>241</v>
      </c>
      <c r="BX87" t="s">
        <v>127</v>
      </c>
      <c r="BY87" t="s">
        <v>128</v>
      </c>
      <c r="BZ87" t="s">
        <v>248</v>
      </c>
      <c r="CA87" t="s">
        <v>239</v>
      </c>
      <c r="CB87" s="7">
        <v>22.7</v>
      </c>
      <c r="CC87">
        <v>23</v>
      </c>
      <c r="CD87" s="7">
        <v>3</v>
      </c>
      <c r="CE87" s="7">
        <v>0.72</v>
      </c>
      <c r="CF87" s="7">
        <v>0.6</v>
      </c>
      <c r="CG87" s="7">
        <f t="shared" si="5"/>
        <v>0.12</v>
      </c>
      <c r="CH87" s="7">
        <v>72.430000000000007</v>
      </c>
      <c r="CI87" s="7">
        <v>39.17</v>
      </c>
      <c r="CJ87" s="7">
        <v>11.13</v>
      </c>
      <c r="CK87" s="6">
        <v>45973.375</v>
      </c>
      <c r="CL87" t="s">
        <v>5</v>
      </c>
      <c r="CN87" t="s">
        <v>129</v>
      </c>
    </row>
  </sheetData>
  <conditionalFormatting sqref="AK2:AK87">
    <cfRule type="cellIs" dxfId="2" priority="2" operator="greaterThan">
      <formula>40</formula>
    </cfRule>
  </conditionalFormatting>
  <conditionalFormatting sqref="CM2:CM87">
    <cfRule type="expression" dxfId="1" priority="1">
      <formula>$CM2&lt;&gt;""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11"/>
  <sheetViews>
    <sheetView workbookViewId="0">
      <selection activeCell="D13" sqref="D13"/>
    </sheetView>
  </sheetViews>
  <sheetFormatPr baseColWidth="10" defaultColWidth="9" defaultRowHeight="14.25"/>
  <cols>
    <col min="1" max="3" width="18" customWidth="1"/>
    <col min="4" max="92" width="13" customWidth="1"/>
  </cols>
  <sheetData>
    <row r="1" spans="1:92" ht="60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67</v>
      </c>
      <c r="AW1" s="1" t="s">
        <v>68</v>
      </c>
      <c r="AX1" s="1" t="s">
        <v>69</v>
      </c>
      <c r="AY1" s="1" t="s">
        <v>70</v>
      </c>
      <c r="AZ1" s="1" t="s">
        <v>71</v>
      </c>
      <c r="BA1" s="1" t="s">
        <v>72</v>
      </c>
      <c r="BB1" s="1" t="s">
        <v>73</v>
      </c>
      <c r="BC1" s="1" t="s">
        <v>74</v>
      </c>
      <c r="BD1" s="1" t="s">
        <v>75</v>
      </c>
      <c r="BE1" s="1" t="s">
        <v>76</v>
      </c>
      <c r="BF1" s="1" t="s">
        <v>77</v>
      </c>
      <c r="BG1" s="1" t="s">
        <v>78</v>
      </c>
      <c r="BH1" s="1" t="s">
        <v>79</v>
      </c>
      <c r="BI1" s="1" t="s">
        <v>80</v>
      </c>
      <c r="BJ1" s="1" t="s">
        <v>81</v>
      </c>
      <c r="BK1" s="1" t="s">
        <v>82</v>
      </c>
      <c r="BL1" s="1" t="s">
        <v>83</v>
      </c>
      <c r="BM1" s="1" t="s">
        <v>84</v>
      </c>
      <c r="BN1" s="1" t="s">
        <v>85</v>
      </c>
      <c r="BO1" s="1" t="s">
        <v>86</v>
      </c>
      <c r="BP1" s="1" t="s">
        <v>87</v>
      </c>
      <c r="BQ1" s="1" t="s">
        <v>88</v>
      </c>
      <c r="BR1" s="1" t="s">
        <v>89</v>
      </c>
      <c r="BS1" s="1" t="s">
        <v>90</v>
      </c>
      <c r="BT1" s="1" t="s">
        <v>91</v>
      </c>
      <c r="BU1" s="1" t="s">
        <v>92</v>
      </c>
      <c r="BV1" s="1" t="s">
        <v>93</v>
      </c>
      <c r="BW1" s="1" t="s">
        <v>94</v>
      </c>
      <c r="BX1" s="1" t="s">
        <v>95</v>
      </c>
      <c r="BY1" s="1" t="s">
        <v>96</v>
      </c>
      <c r="BZ1" s="1" t="s">
        <v>97</v>
      </c>
      <c r="CA1" s="1" t="s">
        <v>98</v>
      </c>
      <c r="CB1" s="1" t="s">
        <v>99</v>
      </c>
      <c r="CC1" s="1" t="s">
        <v>100</v>
      </c>
      <c r="CD1" s="1" t="s">
        <v>101</v>
      </c>
      <c r="CE1" s="1" t="s">
        <v>102</v>
      </c>
      <c r="CF1" s="1" t="s">
        <v>103</v>
      </c>
      <c r="CG1" s="1" t="s">
        <v>104</v>
      </c>
      <c r="CH1" s="1" t="s">
        <v>105</v>
      </c>
      <c r="CI1" s="1" t="s">
        <v>106</v>
      </c>
      <c r="CJ1" s="1" t="s">
        <v>107</v>
      </c>
      <c r="CK1" s="1" t="s">
        <v>108</v>
      </c>
      <c r="CL1" s="1" t="s">
        <v>109</v>
      </c>
      <c r="CM1" s="1" t="s">
        <v>110</v>
      </c>
      <c r="CN1" s="1" t="s">
        <v>111</v>
      </c>
    </row>
    <row r="2" spans="1:92">
      <c r="A2" t="s">
        <v>112</v>
      </c>
      <c r="B2" s="6">
        <v>45936.5</v>
      </c>
      <c r="C2" s="7">
        <v>0</v>
      </c>
      <c r="D2" s="7">
        <v>15</v>
      </c>
      <c r="E2" s="7">
        <v>1098.5999999999999</v>
      </c>
      <c r="F2" s="7"/>
      <c r="H2" s="7">
        <v>125.34</v>
      </c>
      <c r="I2" s="7">
        <f>IF(OR(CE2="",CF2=""),"",CE2-CF2)</f>
        <v>120.52000000000001</v>
      </c>
      <c r="J2" s="7">
        <v>14</v>
      </c>
      <c r="K2" s="7">
        <v>256</v>
      </c>
      <c r="L2" s="7">
        <v>224</v>
      </c>
      <c r="M2" s="7">
        <v>0.34</v>
      </c>
      <c r="N2" s="7">
        <v>3</v>
      </c>
      <c r="Q2" s="7">
        <v>0</v>
      </c>
      <c r="AA2" t="s">
        <v>113</v>
      </c>
      <c r="AB2" s="6">
        <v>45936.5</v>
      </c>
      <c r="AC2" t="s">
        <v>114</v>
      </c>
      <c r="AD2" t="s">
        <v>115</v>
      </c>
      <c r="AE2" t="s">
        <v>116</v>
      </c>
      <c r="AF2">
        <v>15</v>
      </c>
      <c r="AG2" t="s">
        <v>117</v>
      </c>
      <c r="AH2">
        <v>1</v>
      </c>
      <c r="AJ2" t="s">
        <v>118</v>
      </c>
      <c r="AK2" s="7">
        <v>23.7</v>
      </c>
      <c r="AN2">
        <v>15</v>
      </c>
      <c r="AP2">
        <v>245.86</v>
      </c>
      <c r="AT2" t="s">
        <v>119</v>
      </c>
      <c r="AU2" t="s">
        <v>120</v>
      </c>
      <c r="AV2" t="s">
        <v>121</v>
      </c>
      <c r="AY2" t="s">
        <v>122</v>
      </c>
      <c r="AZ2" t="s">
        <v>123</v>
      </c>
      <c r="BO2" t="s">
        <v>124</v>
      </c>
      <c r="BP2" t="s">
        <v>125</v>
      </c>
      <c r="BQ2" t="s">
        <v>113</v>
      </c>
      <c r="BR2" t="s">
        <v>113</v>
      </c>
      <c r="BS2" t="s">
        <v>126</v>
      </c>
      <c r="BX2" t="s">
        <v>127</v>
      </c>
      <c r="BY2" t="s">
        <v>128</v>
      </c>
      <c r="BZ2" t="s">
        <v>112</v>
      </c>
      <c r="CA2" t="s">
        <v>113</v>
      </c>
      <c r="CB2" s="7">
        <v>16.600000000000001</v>
      </c>
      <c r="CC2">
        <v>15</v>
      </c>
      <c r="CD2" s="7">
        <v>1</v>
      </c>
      <c r="CE2" s="7">
        <v>245.86</v>
      </c>
      <c r="CF2" s="7">
        <v>125.34</v>
      </c>
      <c r="CG2" s="7">
        <f>IF(OR(CE2="",CF2=""),"",CE2-CF2)</f>
        <v>120.52000000000001</v>
      </c>
      <c r="CH2" s="7">
        <v>15</v>
      </c>
      <c r="CI2" s="7"/>
      <c r="CJ2" s="7"/>
      <c r="CK2" s="6">
        <v>45936.5</v>
      </c>
      <c r="CL2" t="s">
        <v>5</v>
      </c>
      <c r="CN2" t="s">
        <v>129</v>
      </c>
    </row>
    <row r="3" spans="1:92">
      <c r="A3" t="s">
        <v>130</v>
      </c>
      <c r="B3" s="6">
        <v>45936.645833333299</v>
      </c>
      <c r="C3" s="7">
        <v>3.5</v>
      </c>
      <c r="D3" s="7">
        <v>15</v>
      </c>
      <c r="E3" s="7">
        <v>1098.5</v>
      </c>
      <c r="F3" s="7">
        <v>46.69</v>
      </c>
      <c r="H3" s="7">
        <v>119.63</v>
      </c>
      <c r="I3" s="7">
        <f t="shared" ref="I3:I11" si="0">IF(OR(CE3="",CF3=""),"",CE3-CF3)</f>
        <v>114.87</v>
      </c>
      <c r="J3" s="7">
        <v>87</v>
      </c>
      <c r="K3" s="7">
        <v>244</v>
      </c>
      <c r="L3" s="7">
        <v>287</v>
      </c>
      <c r="M3" s="7">
        <v>0.44</v>
      </c>
      <c r="N3" s="7">
        <v>5</v>
      </c>
      <c r="Q3" s="7"/>
      <c r="AA3" t="s">
        <v>113</v>
      </c>
      <c r="AB3" s="6">
        <v>45936.645833333299</v>
      </c>
      <c r="AC3" t="s">
        <v>114</v>
      </c>
      <c r="AD3" t="s">
        <v>115</v>
      </c>
      <c r="AE3" t="s">
        <v>116</v>
      </c>
      <c r="AF3">
        <v>15</v>
      </c>
      <c r="AG3" t="s">
        <v>117</v>
      </c>
      <c r="AH3">
        <v>1</v>
      </c>
      <c r="AJ3" t="s">
        <v>118</v>
      </c>
      <c r="AK3" s="7">
        <v>23.6</v>
      </c>
      <c r="AN3">
        <v>23.77</v>
      </c>
      <c r="AO3">
        <v>10.5</v>
      </c>
      <c r="AP3">
        <v>234.5</v>
      </c>
      <c r="AT3" t="s">
        <v>119</v>
      </c>
      <c r="AU3" t="s">
        <v>131</v>
      </c>
      <c r="AV3" t="s">
        <v>121</v>
      </c>
      <c r="AY3" t="s">
        <v>122</v>
      </c>
      <c r="AZ3" t="s">
        <v>123</v>
      </c>
      <c r="BO3" t="s">
        <v>124</v>
      </c>
      <c r="BP3" t="s">
        <v>125</v>
      </c>
      <c r="BQ3" t="s">
        <v>113</v>
      </c>
      <c r="BR3" t="s">
        <v>113</v>
      </c>
      <c r="BS3" t="s">
        <v>126</v>
      </c>
      <c r="BX3" t="s">
        <v>127</v>
      </c>
      <c r="BY3" t="s">
        <v>128</v>
      </c>
      <c r="BZ3" t="s">
        <v>130</v>
      </c>
      <c r="CA3" t="s">
        <v>113</v>
      </c>
      <c r="CB3" s="7">
        <v>16.2</v>
      </c>
      <c r="CC3">
        <v>15</v>
      </c>
      <c r="CD3" s="7">
        <v>1</v>
      </c>
      <c r="CE3" s="7">
        <v>234.5</v>
      </c>
      <c r="CF3" s="7">
        <v>119.63</v>
      </c>
      <c r="CG3" s="7">
        <f t="shared" ref="CG3:CG11" si="1">IF(OR(CE3="",CF3=""),"",CE3-CF3)</f>
        <v>114.87</v>
      </c>
      <c r="CH3" s="7">
        <v>23.77</v>
      </c>
      <c r="CI3" s="7">
        <v>11.1</v>
      </c>
      <c r="CJ3" s="7">
        <v>10.5</v>
      </c>
      <c r="CK3" s="6">
        <v>45936.645833333299</v>
      </c>
      <c r="CL3" t="s">
        <v>5</v>
      </c>
      <c r="CN3" t="s">
        <v>129</v>
      </c>
    </row>
    <row r="4" spans="1:92">
      <c r="A4" t="s">
        <v>132</v>
      </c>
      <c r="B4" s="6">
        <v>45937.4375</v>
      </c>
      <c r="C4" s="7">
        <v>22.5</v>
      </c>
      <c r="D4" s="7">
        <v>15</v>
      </c>
      <c r="E4" s="7">
        <v>1096.0999999999999</v>
      </c>
      <c r="F4" s="7">
        <v>44.56</v>
      </c>
      <c r="H4" s="7">
        <v>120.58</v>
      </c>
      <c r="I4" s="7">
        <f t="shared" si="0"/>
        <v>115.91000000000001</v>
      </c>
      <c r="J4" s="7">
        <v>72</v>
      </c>
      <c r="K4" s="7">
        <v>250</v>
      </c>
      <c r="L4" s="7">
        <v>277</v>
      </c>
      <c r="M4" s="7">
        <v>0.81</v>
      </c>
      <c r="N4" s="7">
        <v>13</v>
      </c>
      <c r="Q4" s="7"/>
      <c r="AA4" t="s">
        <v>113</v>
      </c>
      <c r="AB4" s="6">
        <v>45937.4375</v>
      </c>
      <c r="AC4" t="s">
        <v>114</v>
      </c>
      <c r="AD4" t="s">
        <v>115</v>
      </c>
      <c r="AE4" t="s">
        <v>116</v>
      </c>
      <c r="AF4">
        <v>15</v>
      </c>
      <c r="AG4" t="s">
        <v>117</v>
      </c>
      <c r="AH4">
        <v>1</v>
      </c>
      <c r="AJ4" t="s">
        <v>118</v>
      </c>
      <c r="AK4" s="7">
        <v>23.3</v>
      </c>
      <c r="AN4">
        <v>37.4</v>
      </c>
      <c r="AO4">
        <v>18.28</v>
      </c>
      <c r="AP4">
        <v>236.49</v>
      </c>
      <c r="AT4" t="s">
        <v>119</v>
      </c>
      <c r="AU4" t="s">
        <v>133</v>
      </c>
      <c r="AV4" t="s">
        <v>121</v>
      </c>
      <c r="AY4" t="s">
        <v>122</v>
      </c>
      <c r="AZ4" t="s">
        <v>123</v>
      </c>
      <c r="BO4" t="s">
        <v>124</v>
      </c>
      <c r="BP4" t="s">
        <v>125</v>
      </c>
      <c r="BQ4" t="s">
        <v>113</v>
      </c>
      <c r="BR4" t="s">
        <v>113</v>
      </c>
      <c r="BS4" t="s">
        <v>126</v>
      </c>
      <c r="BX4" t="s">
        <v>127</v>
      </c>
      <c r="BY4" t="s">
        <v>128</v>
      </c>
      <c r="BZ4" t="s">
        <v>132</v>
      </c>
      <c r="CA4" t="s">
        <v>113</v>
      </c>
      <c r="CB4" s="7">
        <v>16.100000000000001</v>
      </c>
      <c r="CC4">
        <v>15</v>
      </c>
      <c r="CD4" s="7">
        <v>1</v>
      </c>
      <c r="CE4" s="7">
        <v>236.49</v>
      </c>
      <c r="CF4" s="7">
        <v>120.58</v>
      </c>
      <c r="CG4" s="7">
        <f t="shared" si="1"/>
        <v>115.91000000000001</v>
      </c>
      <c r="CH4" s="7">
        <v>37.4</v>
      </c>
      <c r="CI4" s="7">
        <v>16.670000000000002</v>
      </c>
      <c r="CJ4" s="7">
        <v>18.28</v>
      </c>
      <c r="CK4" s="6">
        <v>45937.4375</v>
      </c>
      <c r="CL4" t="s">
        <v>5</v>
      </c>
      <c r="CN4" t="s">
        <v>129</v>
      </c>
    </row>
    <row r="5" spans="1:92">
      <c r="A5" t="s">
        <v>298</v>
      </c>
      <c r="B5" s="6">
        <f>B2+1</f>
        <v>45937.5</v>
      </c>
      <c r="C5" s="7">
        <v>24</v>
      </c>
      <c r="D5" s="7"/>
      <c r="E5" s="7"/>
      <c r="F5" s="7"/>
      <c r="H5" s="7"/>
      <c r="I5" s="7"/>
      <c r="J5" s="7"/>
      <c r="K5" s="7"/>
      <c r="L5" s="7"/>
      <c r="M5" s="7"/>
      <c r="N5" s="7"/>
      <c r="Q5" s="7"/>
      <c r="R5">
        <v>100</v>
      </c>
      <c r="AB5" s="6"/>
      <c r="AK5" s="7"/>
      <c r="CB5" s="7"/>
      <c r="CD5" s="7"/>
      <c r="CE5" s="7"/>
      <c r="CF5" s="7"/>
      <c r="CG5" s="7"/>
      <c r="CH5" s="7"/>
      <c r="CI5" s="7"/>
      <c r="CJ5" s="7"/>
      <c r="CK5" s="6"/>
    </row>
    <row r="6" spans="1:92">
      <c r="A6" t="s">
        <v>134</v>
      </c>
      <c r="B6" s="6">
        <v>45938.4375</v>
      </c>
      <c r="C6" s="7">
        <v>46.5</v>
      </c>
      <c r="D6" s="7">
        <v>15</v>
      </c>
      <c r="E6" s="7">
        <v>1091.8</v>
      </c>
      <c r="F6" s="7">
        <v>47.2</v>
      </c>
      <c r="H6" s="7">
        <v>109.59</v>
      </c>
      <c r="I6" s="7">
        <f t="shared" si="0"/>
        <v>109.99000000000001</v>
      </c>
      <c r="J6" s="7">
        <v>93</v>
      </c>
      <c r="K6" s="7">
        <v>296</v>
      </c>
      <c r="L6" s="7">
        <v>335</v>
      </c>
      <c r="M6" s="7">
        <v>1.74</v>
      </c>
      <c r="N6" s="7">
        <v>42</v>
      </c>
      <c r="Q6" s="7"/>
      <c r="AA6" t="s">
        <v>113</v>
      </c>
      <c r="AB6" s="6">
        <v>45938.4375</v>
      </c>
      <c r="AC6" t="s">
        <v>114</v>
      </c>
      <c r="AD6" t="s">
        <v>115</v>
      </c>
      <c r="AE6" t="s">
        <v>116</v>
      </c>
      <c r="AF6">
        <v>15</v>
      </c>
      <c r="AG6" t="s">
        <v>117</v>
      </c>
      <c r="AH6">
        <v>1</v>
      </c>
      <c r="AJ6" t="s">
        <v>118</v>
      </c>
      <c r="AK6" s="7">
        <v>22.2</v>
      </c>
      <c r="AN6">
        <v>49.31</v>
      </c>
      <c r="AO6">
        <v>16.82</v>
      </c>
      <c r="AP6">
        <v>219.58</v>
      </c>
      <c r="AT6" t="s">
        <v>119</v>
      </c>
      <c r="AU6" t="s">
        <v>135</v>
      </c>
      <c r="AV6" t="s">
        <v>121</v>
      </c>
      <c r="AY6" t="s">
        <v>122</v>
      </c>
      <c r="AZ6" t="s">
        <v>123</v>
      </c>
      <c r="BO6" t="s">
        <v>124</v>
      </c>
      <c r="BP6" t="s">
        <v>125</v>
      </c>
      <c r="BQ6" t="s">
        <v>113</v>
      </c>
      <c r="BR6" t="s">
        <v>113</v>
      </c>
      <c r="BS6" t="s">
        <v>126</v>
      </c>
      <c r="BX6" t="s">
        <v>127</v>
      </c>
      <c r="BY6" t="s">
        <v>128</v>
      </c>
      <c r="BZ6" t="s">
        <v>134</v>
      </c>
      <c r="CA6" t="s">
        <v>113</v>
      </c>
      <c r="CB6" s="7">
        <v>16.100000000000001</v>
      </c>
      <c r="CC6">
        <v>15</v>
      </c>
      <c r="CD6" s="7">
        <v>1</v>
      </c>
      <c r="CE6" s="7">
        <v>219.58</v>
      </c>
      <c r="CF6" s="7">
        <v>109.59</v>
      </c>
      <c r="CG6" s="7">
        <f t="shared" si="1"/>
        <v>109.99000000000001</v>
      </c>
      <c r="CH6" s="7">
        <v>49.31</v>
      </c>
      <c r="CI6" s="7">
        <v>23.27</v>
      </c>
      <c r="CJ6" s="7">
        <v>16.82</v>
      </c>
      <c r="CK6" s="6">
        <v>45938.4375</v>
      </c>
      <c r="CL6" t="s">
        <v>5</v>
      </c>
      <c r="CN6" t="s">
        <v>129</v>
      </c>
    </row>
    <row r="7" spans="1:92">
      <c r="A7" t="s">
        <v>136</v>
      </c>
      <c r="B7" s="6">
        <v>45939.416666666701</v>
      </c>
      <c r="C7" s="7">
        <v>70</v>
      </c>
      <c r="D7" s="7">
        <v>15</v>
      </c>
      <c r="E7" s="7">
        <v>1083.5999999999999</v>
      </c>
      <c r="F7" s="7">
        <v>57.19</v>
      </c>
      <c r="H7" s="7">
        <v>97.28</v>
      </c>
      <c r="I7" s="7">
        <f t="shared" si="0"/>
        <v>105.38999999999999</v>
      </c>
      <c r="J7" s="7">
        <v>64</v>
      </c>
      <c r="K7" s="7">
        <v>272</v>
      </c>
      <c r="L7" s="7">
        <v>286</v>
      </c>
      <c r="M7" s="7">
        <v>2.87</v>
      </c>
      <c r="N7" s="7">
        <v>73</v>
      </c>
      <c r="Q7" s="7"/>
      <c r="AA7" t="s">
        <v>113</v>
      </c>
      <c r="AB7" s="6">
        <v>45939.416666666701</v>
      </c>
      <c r="AC7" t="s">
        <v>114</v>
      </c>
      <c r="AD7" t="s">
        <v>115</v>
      </c>
      <c r="AE7" t="s">
        <v>116</v>
      </c>
      <c r="AF7">
        <v>15</v>
      </c>
      <c r="AG7" t="s">
        <v>117</v>
      </c>
      <c r="AH7">
        <v>1</v>
      </c>
      <c r="AJ7" t="s">
        <v>118</v>
      </c>
      <c r="AK7" s="7">
        <v>20.3</v>
      </c>
      <c r="AN7">
        <v>72.12</v>
      </c>
      <c r="AO7">
        <v>18.32</v>
      </c>
      <c r="AP7">
        <v>202.67</v>
      </c>
      <c r="AT7" t="s">
        <v>119</v>
      </c>
      <c r="AU7" t="s">
        <v>137</v>
      </c>
      <c r="AV7" t="s">
        <v>121</v>
      </c>
      <c r="AY7" t="s">
        <v>122</v>
      </c>
      <c r="AZ7" t="s">
        <v>123</v>
      </c>
      <c r="BO7" t="s">
        <v>124</v>
      </c>
      <c r="BP7" t="s">
        <v>125</v>
      </c>
      <c r="BQ7" t="s">
        <v>113</v>
      </c>
      <c r="BR7" t="s">
        <v>113</v>
      </c>
      <c r="BS7" t="s">
        <v>126</v>
      </c>
      <c r="BX7" t="s">
        <v>127</v>
      </c>
      <c r="BY7" t="s">
        <v>128</v>
      </c>
      <c r="BZ7" t="s">
        <v>136</v>
      </c>
      <c r="CA7" t="s">
        <v>113</v>
      </c>
      <c r="CB7" s="7">
        <v>15.6</v>
      </c>
      <c r="CC7">
        <v>15</v>
      </c>
      <c r="CD7" s="7">
        <v>1</v>
      </c>
      <c r="CE7" s="7">
        <v>202.67</v>
      </c>
      <c r="CF7" s="7">
        <v>97.28</v>
      </c>
      <c r="CG7" s="7">
        <f t="shared" si="1"/>
        <v>105.38999999999999</v>
      </c>
      <c r="CH7" s="7">
        <v>72.12</v>
      </c>
      <c r="CI7" s="7">
        <v>41.24</v>
      </c>
      <c r="CJ7" s="7">
        <v>18.32</v>
      </c>
      <c r="CK7" s="6">
        <v>45939.416666666701</v>
      </c>
      <c r="CL7" t="s">
        <v>5</v>
      </c>
      <c r="CN7" t="s">
        <v>129</v>
      </c>
    </row>
    <row r="8" spans="1:92">
      <c r="A8" t="s">
        <v>138</v>
      </c>
      <c r="B8" s="6">
        <v>45940.416666666701</v>
      </c>
      <c r="C8" s="7">
        <v>94</v>
      </c>
      <c r="D8" s="7">
        <v>15</v>
      </c>
      <c r="E8" s="7">
        <v>1068.9000000000001</v>
      </c>
      <c r="F8" s="7">
        <v>63.67</v>
      </c>
      <c r="H8" s="7">
        <v>74.03</v>
      </c>
      <c r="I8" s="7">
        <f t="shared" si="0"/>
        <v>96.56</v>
      </c>
      <c r="J8" s="7">
        <v>51</v>
      </c>
      <c r="K8" s="7">
        <v>199</v>
      </c>
      <c r="L8" s="7">
        <v>214</v>
      </c>
      <c r="M8" s="7">
        <v>4.34</v>
      </c>
      <c r="N8" s="7">
        <v>79</v>
      </c>
      <c r="Q8" s="7">
        <v>3.87</v>
      </c>
      <c r="AA8" t="s">
        <v>113</v>
      </c>
      <c r="AB8" s="6">
        <v>45940.416666666701</v>
      </c>
      <c r="AC8" t="s">
        <v>114</v>
      </c>
      <c r="AD8" t="s">
        <v>115</v>
      </c>
      <c r="AE8" t="s">
        <v>116</v>
      </c>
      <c r="AF8">
        <v>15</v>
      </c>
      <c r="AG8" t="s">
        <v>117</v>
      </c>
      <c r="AH8">
        <v>1</v>
      </c>
      <c r="AJ8" t="s">
        <v>118</v>
      </c>
      <c r="AK8" s="7">
        <v>17.100000000000001</v>
      </c>
      <c r="AN8">
        <v>75.27</v>
      </c>
      <c r="AO8">
        <v>15.51</v>
      </c>
      <c r="AP8">
        <v>170.59</v>
      </c>
      <c r="AT8" t="s">
        <v>119</v>
      </c>
      <c r="AU8" t="s">
        <v>139</v>
      </c>
      <c r="AV8" t="s">
        <v>121</v>
      </c>
      <c r="AY8" t="s">
        <v>122</v>
      </c>
      <c r="AZ8" t="s">
        <v>123</v>
      </c>
      <c r="BO8" t="s">
        <v>124</v>
      </c>
      <c r="BP8" t="s">
        <v>125</v>
      </c>
      <c r="BQ8" t="s">
        <v>113</v>
      </c>
      <c r="BR8" t="s">
        <v>113</v>
      </c>
      <c r="BS8" t="s">
        <v>126</v>
      </c>
      <c r="BX8" t="s">
        <v>127</v>
      </c>
      <c r="BY8" t="s">
        <v>128</v>
      </c>
      <c r="BZ8" t="s">
        <v>138</v>
      </c>
      <c r="CA8" t="s">
        <v>113</v>
      </c>
      <c r="CB8" s="7">
        <v>15.8</v>
      </c>
      <c r="CC8">
        <v>15</v>
      </c>
      <c r="CD8" s="7">
        <v>1</v>
      </c>
      <c r="CE8" s="7">
        <v>170.59</v>
      </c>
      <c r="CF8" s="7">
        <v>74.03</v>
      </c>
      <c r="CG8" s="7">
        <f t="shared" si="1"/>
        <v>96.56</v>
      </c>
      <c r="CH8" s="7">
        <v>75.27</v>
      </c>
      <c r="CI8" s="7">
        <v>47.93</v>
      </c>
      <c r="CJ8" s="7">
        <v>15.51</v>
      </c>
      <c r="CK8" s="6">
        <v>45940.416666666701</v>
      </c>
      <c r="CL8" t="s">
        <v>5</v>
      </c>
      <c r="CN8" t="s">
        <v>129</v>
      </c>
    </row>
    <row r="9" spans="1:92">
      <c r="A9" t="s">
        <v>140</v>
      </c>
      <c r="B9" s="6">
        <v>45943.395833333299</v>
      </c>
      <c r="C9" s="7">
        <v>165.5</v>
      </c>
      <c r="D9" s="7">
        <v>15</v>
      </c>
      <c r="E9" s="7">
        <v>1035.5</v>
      </c>
      <c r="F9" s="7">
        <v>70.88</v>
      </c>
      <c r="H9" s="7">
        <v>30.35</v>
      </c>
      <c r="I9" s="7">
        <f t="shared" si="0"/>
        <v>64.52000000000001</v>
      </c>
      <c r="J9" s="7">
        <v>42</v>
      </c>
      <c r="K9" s="7">
        <v>109</v>
      </c>
      <c r="L9" s="7">
        <v>131</v>
      </c>
      <c r="M9" s="7">
        <v>6.3</v>
      </c>
      <c r="N9" s="7">
        <v>55</v>
      </c>
      <c r="Q9" s="7">
        <v>8.44</v>
      </c>
      <c r="AA9" t="s">
        <v>113</v>
      </c>
      <c r="AB9" s="6">
        <v>45943.395833333299</v>
      </c>
      <c r="AC9" t="s">
        <v>114</v>
      </c>
      <c r="AD9" t="s">
        <v>115</v>
      </c>
      <c r="AE9" t="s">
        <v>116</v>
      </c>
      <c r="AF9">
        <v>15</v>
      </c>
      <c r="AG9" t="s">
        <v>117</v>
      </c>
      <c r="AH9">
        <v>1</v>
      </c>
      <c r="AJ9" t="s">
        <v>118</v>
      </c>
      <c r="AK9" s="7">
        <v>9.3000000000000007</v>
      </c>
      <c r="AN9">
        <v>75.959999999999994</v>
      </c>
      <c r="AO9">
        <v>10.72</v>
      </c>
      <c r="AP9">
        <v>94.87</v>
      </c>
      <c r="AT9" t="s">
        <v>119</v>
      </c>
      <c r="AU9" t="s">
        <v>141</v>
      </c>
      <c r="AV9" t="s">
        <v>121</v>
      </c>
      <c r="AY9" t="s">
        <v>122</v>
      </c>
      <c r="AZ9" t="s">
        <v>123</v>
      </c>
      <c r="BO9" t="s">
        <v>124</v>
      </c>
      <c r="BP9" t="s">
        <v>125</v>
      </c>
      <c r="BQ9" t="s">
        <v>113</v>
      </c>
      <c r="BR9" t="s">
        <v>113</v>
      </c>
      <c r="BS9" t="s">
        <v>126</v>
      </c>
      <c r="BX9" t="s">
        <v>127</v>
      </c>
      <c r="BY9" t="s">
        <v>128</v>
      </c>
      <c r="BZ9" t="s">
        <v>140</v>
      </c>
      <c r="CA9" t="s">
        <v>113</v>
      </c>
      <c r="CB9" s="7">
        <v>18.100000000000001</v>
      </c>
      <c r="CC9">
        <v>15</v>
      </c>
      <c r="CD9" s="7">
        <v>1</v>
      </c>
      <c r="CE9" s="7">
        <v>94.87</v>
      </c>
      <c r="CF9" s="7">
        <v>30.35</v>
      </c>
      <c r="CG9" s="7">
        <f t="shared" si="1"/>
        <v>64.52000000000001</v>
      </c>
      <c r="CH9" s="7">
        <v>75.959999999999994</v>
      </c>
      <c r="CI9" s="7">
        <v>53.84</v>
      </c>
      <c r="CJ9" s="7">
        <v>10.72</v>
      </c>
      <c r="CK9" s="6">
        <v>45943.395833333299</v>
      </c>
      <c r="CL9" t="s">
        <v>5</v>
      </c>
      <c r="CN9" t="s">
        <v>129</v>
      </c>
    </row>
    <row r="10" spans="1:92">
      <c r="A10" t="s">
        <v>142</v>
      </c>
      <c r="B10" s="6">
        <v>45944.416666666701</v>
      </c>
      <c r="C10" s="7">
        <v>190</v>
      </c>
      <c r="D10" s="7">
        <v>15</v>
      </c>
      <c r="E10" s="7">
        <v>1028.2</v>
      </c>
      <c r="F10" s="7">
        <v>64.63</v>
      </c>
      <c r="H10" s="7">
        <v>20.420000000000002</v>
      </c>
      <c r="I10" s="7">
        <f t="shared" si="0"/>
        <v>56.05</v>
      </c>
      <c r="J10" s="7">
        <v>43</v>
      </c>
      <c r="K10" s="7">
        <v>91</v>
      </c>
      <c r="L10" s="7">
        <v>117</v>
      </c>
      <c r="M10" s="7">
        <v>6.3</v>
      </c>
      <c r="N10" s="7">
        <v>38</v>
      </c>
      <c r="Q10" s="7"/>
      <c r="AA10" t="s">
        <v>113</v>
      </c>
      <c r="AB10" s="6">
        <v>45944.416666666701</v>
      </c>
      <c r="AC10" t="s">
        <v>114</v>
      </c>
      <c r="AD10" t="s">
        <v>115</v>
      </c>
      <c r="AE10" t="s">
        <v>116</v>
      </c>
      <c r="AF10">
        <v>15</v>
      </c>
      <c r="AG10" t="s">
        <v>117</v>
      </c>
      <c r="AH10">
        <v>1</v>
      </c>
      <c r="AJ10" t="s">
        <v>118</v>
      </c>
      <c r="AK10" s="7">
        <v>7.4</v>
      </c>
      <c r="AN10">
        <v>67.97</v>
      </c>
      <c r="AO10">
        <v>10.06</v>
      </c>
      <c r="AP10">
        <v>76.47</v>
      </c>
      <c r="AT10" t="s">
        <v>119</v>
      </c>
      <c r="AU10" t="s">
        <v>143</v>
      </c>
      <c r="AV10" t="s">
        <v>121</v>
      </c>
      <c r="AY10" t="s">
        <v>122</v>
      </c>
      <c r="AZ10" t="s">
        <v>123</v>
      </c>
      <c r="BO10" t="s">
        <v>124</v>
      </c>
      <c r="BP10" t="s">
        <v>125</v>
      </c>
      <c r="BQ10" t="s">
        <v>113</v>
      </c>
      <c r="BR10" t="s">
        <v>113</v>
      </c>
      <c r="BS10" t="s">
        <v>126</v>
      </c>
      <c r="BX10" t="s">
        <v>127</v>
      </c>
      <c r="BY10" t="s">
        <v>128</v>
      </c>
      <c r="BZ10" t="s">
        <v>142</v>
      </c>
      <c r="CA10" t="s">
        <v>113</v>
      </c>
      <c r="CB10" s="7">
        <v>16.2</v>
      </c>
      <c r="CC10">
        <v>15</v>
      </c>
      <c r="CD10" s="7">
        <v>1</v>
      </c>
      <c r="CE10" s="7">
        <v>76.47</v>
      </c>
      <c r="CF10" s="7">
        <v>20.420000000000002</v>
      </c>
      <c r="CG10" s="7">
        <f t="shared" si="1"/>
        <v>56.05</v>
      </c>
      <c r="CH10" s="7">
        <v>67.97</v>
      </c>
      <c r="CI10" s="7">
        <v>43.93</v>
      </c>
      <c r="CJ10" s="7">
        <v>10.06</v>
      </c>
      <c r="CK10" s="6">
        <v>45944.416666666701</v>
      </c>
      <c r="CL10" t="s">
        <v>5</v>
      </c>
      <c r="CN10" t="s">
        <v>129</v>
      </c>
    </row>
    <row r="11" spans="1:92">
      <c r="A11" t="s">
        <v>144</v>
      </c>
      <c r="B11" s="6">
        <v>45945.375</v>
      </c>
      <c r="C11" s="7">
        <v>213</v>
      </c>
      <c r="D11" s="7">
        <v>15</v>
      </c>
      <c r="E11" s="7">
        <v>1020.9</v>
      </c>
      <c r="F11" s="7">
        <v>63.57</v>
      </c>
      <c r="H11" s="7">
        <v>14.64</v>
      </c>
      <c r="I11" s="7">
        <f t="shared" si="0"/>
        <v>49.08</v>
      </c>
      <c r="J11" s="7">
        <v>45</v>
      </c>
      <c r="K11" s="7">
        <v>90</v>
      </c>
      <c r="L11" s="7">
        <v>119</v>
      </c>
      <c r="M11" s="7">
        <v>6.76</v>
      </c>
      <c r="N11" s="7">
        <v>35</v>
      </c>
      <c r="Q11" s="7">
        <v>10.039999999999999</v>
      </c>
      <c r="AA11" t="s">
        <v>113</v>
      </c>
      <c r="AB11" s="6">
        <v>45945.375</v>
      </c>
      <c r="AC11" t="s">
        <v>114</v>
      </c>
      <c r="AD11" t="s">
        <v>115</v>
      </c>
      <c r="AE11" t="s">
        <v>116</v>
      </c>
      <c r="AF11">
        <v>15</v>
      </c>
      <c r="AG11" t="s">
        <v>117</v>
      </c>
      <c r="AH11">
        <v>1</v>
      </c>
      <c r="AJ11" t="s">
        <v>118</v>
      </c>
      <c r="AK11" s="7">
        <v>5.6</v>
      </c>
      <c r="AN11">
        <v>72.73</v>
      </c>
      <c r="AO11">
        <v>11.72</v>
      </c>
      <c r="AP11">
        <v>63.72</v>
      </c>
      <c r="AT11" t="s">
        <v>119</v>
      </c>
      <c r="AU11" t="s">
        <v>145</v>
      </c>
      <c r="AV11" t="s">
        <v>121</v>
      </c>
      <c r="AY11" t="s">
        <v>122</v>
      </c>
      <c r="AZ11" t="s">
        <v>123</v>
      </c>
      <c r="BO11" t="s">
        <v>124</v>
      </c>
      <c r="BP11" t="s">
        <v>125</v>
      </c>
      <c r="BQ11" t="s">
        <v>113</v>
      </c>
      <c r="BR11" t="s">
        <v>113</v>
      </c>
      <c r="BS11" t="s">
        <v>126</v>
      </c>
      <c r="BX11" t="s">
        <v>127</v>
      </c>
      <c r="BY11" t="s">
        <v>128</v>
      </c>
      <c r="BZ11" t="s">
        <v>144</v>
      </c>
      <c r="CA11" t="s">
        <v>113</v>
      </c>
      <c r="CB11" s="7">
        <v>16.899999999999999</v>
      </c>
      <c r="CC11">
        <v>15</v>
      </c>
      <c r="CD11" s="7">
        <v>1</v>
      </c>
      <c r="CE11" s="7">
        <v>63.72</v>
      </c>
      <c r="CF11" s="7">
        <v>14.64</v>
      </c>
      <c r="CG11" s="7">
        <f t="shared" si="1"/>
        <v>49.08</v>
      </c>
      <c r="CH11" s="7">
        <v>72.73</v>
      </c>
      <c r="CI11" s="7">
        <v>46.24</v>
      </c>
      <c r="CJ11" s="7">
        <v>11.72</v>
      </c>
      <c r="CK11" s="6">
        <v>45945.375</v>
      </c>
      <c r="CL11" t="s">
        <v>5</v>
      </c>
      <c r="CN11" t="s">
        <v>129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11"/>
  <sheetViews>
    <sheetView workbookViewId="0">
      <selection activeCell="A8" sqref="A8:XFD8"/>
    </sheetView>
  </sheetViews>
  <sheetFormatPr baseColWidth="10" defaultColWidth="9" defaultRowHeight="14.25"/>
  <cols>
    <col min="1" max="3" width="18" customWidth="1"/>
    <col min="4" max="92" width="13" customWidth="1"/>
  </cols>
  <sheetData>
    <row r="1" spans="1:92" ht="60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67</v>
      </c>
      <c r="AW1" s="1" t="s">
        <v>68</v>
      </c>
      <c r="AX1" s="1" t="s">
        <v>69</v>
      </c>
      <c r="AY1" s="1" t="s">
        <v>70</v>
      </c>
      <c r="AZ1" s="1" t="s">
        <v>71</v>
      </c>
      <c r="BA1" s="1" t="s">
        <v>72</v>
      </c>
      <c r="BB1" s="1" t="s">
        <v>73</v>
      </c>
      <c r="BC1" s="1" t="s">
        <v>74</v>
      </c>
      <c r="BD1" s="1" t="s">
        <v>75</v>
      </c>
      <c r="BE1" s="1" t="s">
        <v>76</v>
      </c>
      <c r="BF1" s="1" t="s">
        <v>77</v>
      </c>
      <c r="BG1" s="1" t="s">
        <v>78</v>
      </c>
      <c r="BH1" s="1" t="s">
        <v>79</v>
      </c>
      <c r="BI1" s="1" t="s">
        <v>80</v>
      </c>
      <c r="BJ1" s="1" t="s">
        <v>81</v>
      </c>
      <c r="BK1" s="1" t="s">
        <v>82</v>
      </c>
      <c r="BL1" s="1" t="s">
        <v>83</v>
      </c>
      <c r="BM1" s="1" t="s">
        <v>84</v>
      </c>
      <c r="BN1" s="1" t="s">
        <v>85</v>
      </c>
      <c r="BO1" s="1" t="s">
        <v>86</v>
      </c>
      <c r="BP1" s="1" t="s">
        <v>87</v>
      </c>
      <c r="BQ1" s="1" t="s">
        <v>88</v>
      </c>
      <c r="BR1" s="1" t="s">
        <v>89</v>
      </c>
      <c r="BS1" s="1" t="s">
        <v>90</v>
      </c>
      <c r="BT1" s="1" t="s">
        <v>91</v>
      </c>
      <c r="BU1" s="1" t="s">
        <v>92</v>
      </c>
      <c r="BV1" s="1" t="s">
        <v>93</v>
      </c>
      <c r="BW1" s="1" t="s">
        <v>94</v>
      </c>
      <c r="BX1" s="1" t="s">
        <v>95</v>
      </c>
      <c r="BY1" s="1" t="s">
        <v>96</v>
      </c>
      <c r="BZ1" s="1" t="s">
        <v>97</v>
      </c>
      <c r="CA1" s="1" t="s">
        <v>98</v>
      </c>
      <c r="CB1" s="1" t="s">
        <v>99</v>
      </c>
      <c r="CC1" s="1" t="s">
        <v>100</v>
      </c>
      <c r="CD1" s="1" t="s">
        <v>101</v>
      </c>
      <c r="CE1" s="1" t="s">
        <v>102</v>
      </c>
      <c r="CF1" s="1" t="s">
        <v>103</v>
      </c>
      <c r="CG1" s="1" t="s">
        <v>104</v>
      </c>
      <c r="CH1" s="1" t="s">
        <v>105</v>
      </c>
      <c r="CI1" s="1" t="s">
        <v>106</v>
      </c>
      <c r="CJ1" s="1" t="s">
        <v>107</v>
      </c>
      <c r="CK1" s="1" t="s">
        <v>108</v>
      </c>
      <c r="CL1" s="1" t="s">
        <v>109</v>
      </c>
      <c r="CM1" s="1" t="s">
        <v>110</v>
      </c>
      <c r="CN1" s="1" t="s">
        <v>111</v>
      </c>
    </row>
    <row r="2" spans="1:92">
      <c r="A2" t="s">
        <v>146</v>
      </c>
      <c r="B2" s="6">
        <v>45936.5</v>
      </c>
      <c r="C2" s="7">
        <v>0</v>
      </c>
      <c r="D2" s="7">
        <v>15</v>
      </c>
      <c r="E2" s="7">
        <v>1097.0999999999999</v>
      </c>
      <c r="F2" s="7"/>
      <c r="H2" s="7">
        <v>124.28</v>
      </c>
      <c r="I2" s="7">
        <f>IF(OR(CE2="",CF2=""),"",CE2-CF2)</f>
        <v>119.63</v>
      </c>
      <c r="J2" s="7">
        <v>13</v>
      </c>
      <c r="K2" s="7">
        <v>249</v>
      </c>
      <c r="L2" s="7">
        <v>218</v>
      </c>
      <c r="M2" s="7">
        <v>0.38</v>
      </c>
      <c r="N2" s="7">
        <v>4</v>
      </c>
      <c r="Q2" s="7">
        <v>0</v>
      </c>
      <c r="AA2" t="s">
        <v>147</v>
      </c>
      <c r="AB2" s="6">
        <v>45936.5</v>
      </c>
      <c r="AC2" t="s">
        <v>114</v>
      </c>
      <c r="AD2" t="s">
        <v>115</v>
      </c>
      <c r="AE2" t="s">
        <v>116</v>
      </c>
      <c r="AF2">
        <v>15</v>
      </c>
      <c r="AG2" t="s">
        <v>148</v>
      </c>
      <c r="AH2">
        <v>4</v>
      </c>
      <c r="AJ2" t="s">
        <v>118</v>
      </c>
      <c r="AK2" s="7">
        <v>23.4</v>
      </c>
      <c r="AN2">
        <v>15</v>
      </c>
      <c r="AP2">
        <v>243.91</v>
      </c>
      <c r="AT2" t="s">
        <v>119</v>
      </c>
      <c r="AU2" t="s">
        <v>120</v>
      </c>
      <c r="AV2" t="s">
        <v>121</v>
      </c>
      <c r="AY2" t="s">
        <v>122</v>
      </c>
      <c r="AZ2" t="s">
        <v>123</v>
      </c>
      <c r="BO2" t="s">
        <v>124</v>
      </c>
      <c r="BP2" t="s">
        <v>125</v>
      </c>
      <c r="BQ2" t="s">
        <v>147</v>
      </c>
      <c r="BR2" t="s">
        <v>147</v>
      </c>
      <c r="BS2" t="s">
        <v>149</v>
      </c>
      <c r="BX2" t="s">
        <v>127</v>
      </c>
      <c r="BY2" t="s">
        <v>128</v>
      </c>
      <c r="BZ2" t="s">
        <v>146</v>
      </c>
      <c r="CA2" t="s">
        <v>147</v>
      </c>
      <c r="CB2" s="7">
        <v>16.8</v>
      </c>
      <c r="CC2">
        <v>15</v>
      </c>
      <c r="CD2" s="7">
        <v>4</v>
      </c>
      <c r="CE2" s="7">
        <v>243.91</v>
      </c>
      <c r="CF2" s="7">
        <v>124.28</v>
      </c>
      <c r="CG2" s="7">
        <f>IF(OR(CE2="",CF2=""),"",CE2-CF2)</f>
        <v>119.63</v>
      </c>
      <c r="CH2" s="7">
        <v>15</v>
      </c>
      <c r="CI2" s="7"/>
      <c r="CJ2" s="7"/>
      <c r="CK2" s="6">
        <v>45936.5</v>
      </c>
      <c r="CL2" t="s">
        <v>5</v>
      </c>
      <c r="CN2" t="s">
        <v>129</v>
      </c>
    </row>
    <row r="3" spans="1:92">
      <c r="A3" t="s">
        <v>150</v>
      </c>
      <c r="B3" s="6">
        <v>45936.645833333299</v>
      </c>
      <c r="C3" s="7">
        <v>3.5</v>
      </c>
      <c r="D3" s="7">
        <v>15</v>
      </c>
      <c r="E3" s="7">
        <v>1097.0999999999999</v>
      </c>
      <c r="F3" s="7">
        <v>53.98</v>
      </c>
      <c r="H3" s="7">
        <v>118.87</v>
      </c>
      <c r="I3" s="7">
        <f t="shared" ref="I3:I11" si="0">IF(OR(CE3="",CF3=""),"",CE3-CF3)</f>
        <v>115.38999999999999</v>
      </c>
      <c r="J3" s="7">
        <v>83</v>
      </c>
      <c r="K3" s="7">
        <v>245</v>
      </c>
      <c r="L3" s="7">
        <v>285</v>
      </c>
      <c r="M3" s="7"/>
      <c r="N3" s="7">
        <v>4</v>
      </c>
      <c r="Q3" s="7"/>
      <c r="AA3" t="s">
        <v>147</v>
      </c>
      <c r="AB3" s="6">
        <v>45936.645833333299</v>
      </c>
      <c r="AC3" t="s">
        <v>114</v>
      </c>
      <c r="AD3" t="s">
        <v>115</v>
      </c>
      <c r="AE3" t="s">
        <v>116</v>
      </c>
      <c r="AF3">
        <v>15</v>
      </c>
      <c r="AG3" t="s">
        <v>148</v>
      </c>
      <c r="AH3">
        <v>4</v>
      </c>
      <c r="AJ3" t="s">
        <v>118</v>
      </c>
      <c r="AK3" s="7">
        <v>23.3</v>
      </c>
      <c r="AN3">
        <v>20.274999999999999</v>
      </c>
      <c r="AO3">
        <v>12.31</v>
      </c>
      <c r="AP3">
        <v>234.26</v>
      </c>
      <c r="AT3" t="s">
        <v>119</v>
      </c>
      <c r="AU3" t="s">
        <v>131</v>
      </c>
      <c r="AV3" t="s">
        <v>121</v>
      </c>
      <c r="AY3" t="s">
        <v>122</v>
      </c>
      <c r="AZ3" t="s">
        <v>123</v>
      </c>
      <c r="BO3" t="s">
        <v>124</v>
      </c>
      <c r="BP3" t="s">
        <v>125</v>
      </c>
      <c r="BQ3" t="s">
        <v>147</v>
      </c>
      <c r="BR3" t="s">
        <v>147</v>
      </c>
      <c r="BS3" t="s">
        <v>149</v>
      </c>
      <c r="BX3" t="s">
        <v>127</v>
      </c>
      <c r="BY3" t="s">
        <v>128</v>
      </c>
      <c r="BZ3" t="s">
        <v>150</v>
      </c>
      <c r="CA3" t="s">
        <v>147</v>
      </c>
      <c r="CB3" s="7">
        <v>16.100000000000001</v>
      </c>
      <c r="CC3">
        <v>15</v>
      </c>
      <c r="CD3" s="7">
        <v>4</v>
      </c>
      <c r="CE3" s="7">
        <v>234.26</v>
      </c>
      <c r="CF3" s="7">
        <v>118.87</v>
      </c>
      <c r="CG3" s="7">
        <f t="shared" ref="CG3:CG11" si="1">IF(OR(CE3="",CF3=""),"",CE3-CF3)</f>
        <v>115.38999999999999</v>
      </c>
      <c r="CH3" s="7">
        <v>20.274999999999999</v>
      </c>
      <c r="CI3" s="7">
        <v>10.945</v>
      </c>
      <c r="CJ3" s="7">
        <v>12.31</v>
      </c>
      <c r="CK3" s="6">
        <v>45936.645833333299</v>
      </c>
      <c r="CL3" t="s">
        <v>5</v>
      </c>
      <c r="CN3" t="s">
        <v>129</v>
      </c>
    </row>
    <row r="4" spans="1:92">
      <c r="A4" t="s">
        <v>151</v>
      </c>
      <c r="B4" s="6">
        <v>45937.4375</v>
      </c>
      <c r="C4" s="7">
        <v>22.5</v>
      </c>
      <c r="D4" s="7">
        <v>15</v>
      </c>
      <c r="E4" s="7">
        <v>1094.9000000000001</v>
      </c>
      <c r="F4" s="7">
        <v>48.99</v>
      </c>
      <c r="H4" s="7">
        <v>118.47</v>
      </c>
      <c r="I4" s="7">
        <f t="shared" si="0"/>
        <v>116.72</v>
      </c>
      <c r="J4" s="7">
        <v>69</v>
      </c>
      <c r="K4" s="7">
        <v>249</v>
      </c>
      <c r="L4" s="7">
        <v>272</v>
      </c>
      <c r="M4" s="7">
        <v>0.79</v>
      </c>
      <c r="N4" s="7">
        <v>12</v>
      </c>
      <c r="Q4" s="7"/>
      <c r="AA4" t="s">
        <v>147</v>
      </c>
      <c r="AB4" s="6">
        <v>45937.4375</v>
      </c>
      <c r="AC4" t="s">
        <v>114</v>
      </c>
      <c r="AD4" t="s">
        <v>115</v>
      </c>
      <c r="AE4" t="s">
        <v>116</v>
      </c>
      <c r="AF4">
        <v>15</v>
      </c>
      <c r="AG4" t="s">
        <v>148</v>
      </c>
      <c r="AH4">
        <v>4</v>
      </c>
      <c r="AJ4" t="s">
        <v>118</v>
      </c>
      <c r="AK4" s="7">
        <v>23</v>
      </c>
      <c r="AN4">
        <v>38.1</v>
      </c>
      <c r="AO4">
        <v>18.350000000000001</v>
      </c>
      <c r="AP4">
        <v>235.19</v>
      </c>
      <c r="AT4" t="s">
        <v>119</v>
      </c>
      <c r="AU4" t="s">
        <v>133</v>
      </c>
      <c r="AV4" t="s">
        <v>121</v>
      </c>
      <c r="AY4" t="s">
        <v>122</v>
      </c>
      <c r="AZ4" t="s">
        <v>123</v>
      </c>
      <c r="BO4" t="s">
        <v>124</v>
      </c>
      <c r="BP4" t="s">
        <v>125</v>
      </c>
      <c r="BQ4" t="s">
        <v>147</v>
      </c>
      <c r="BR4" t="s">
        <v>147</v>
      </c>
      <c r="BS4" t="s">
        <v>149</v>
      </c>
      <c r="BX4" t="s">
        <v>127</v>
      </c>
      <c r="BY4" t="s">
        <v>128</v>
      </c>
      <c r="BZ4" t="s">
        <v>151</v>
      </c>
      <c r="CA4" t="s">
        <v>147</v>
      </c>
      <c r="CB4" s="7">
        <v>16.5</v>
      </c>
      <c r="CC4">
        <v>15</v>
      </c>
      <c r="CD4" s="7">
        <v>4</v>
      </c>
      <c r="CE4" s="7">
        <v>235.19</v>
      </c>
      <c r="CF4" s="7">
        <v>118.47</v>
      </c>
      <c r="CG4" s="7">
        <f t="shared" si="1"/>
        <v>116.72</v>
      </c>
      <c r="CH4" s="7">
        <v>38.1</v>
      </c>
      <c r="CI4" s="7">
        <v>9.33</v>
      </c>
      <c r="CJ4" s="7">
        <v>18.350000000000001</v>
      </c>
      <c r="CK4" s="6">
        <v>45937.4375</v>
      </c>
      <c r="CL4" t="s">
        <v>5</v>
      </c>
      <c r="CN4" t="s">
        <v>129</v>
      </c>
    </row>
    <row r="5" spans="1:92">
      <c r="A5" t="s">
        <v>152</v>
      </c>
      <c r="B5" s="6">
        <v>45938.4375</v>
      </c>
      <c r="C5" s="7">
        <v>46.5</v>
      </c>
      <c r="D5" s="7">
        <v>15</v>
      </c>
      <c r="E5" s="7">
        <v>1091.3</v>
      </c>
      <c r="F5" s="7">
        <v>65.989999999999995</v>
      </c>
      <c r="H5" s="7">
        <v>112.06</v>
      </c>
      <c r="I5" s="7">
        <f t="shared" si="0"/>
        <v>111.07</v>
      </c>
      <c r="J5" s="7">
        <v>40</v>
      </c>
      <c r="K5" s="7">
        <v>230</v>
      </c>
      <c r="L5" s="7">
        <v>229</v>
      </c>
      <c r="M5" s="7">
        <v>1.77</v>
      </c>
      <c r="N5" s="7">
        <v>38</v>
      </c>
      <c r="Q5" s="7"/>
      <c r="AA5" t="s">
        <v>147</v>
      </c>
      <c r="AB5" s="6">
        <v>45938.4375</v>
      </c>
      <c r="AC5" t="s">
        <v>114</v>
      </c>
      <c r="AD5" t="s">
        <v>115</v>
      </c>
      <c r="AE5" t="s">
        <v>116</v>
      </c>
      <c r="AF5">
        <v>15</v>
      </c>
      <c r="AG5" t="s">
        <v>148</v>
      </c>
      <c r="AH5">
        <v>4</v>
      </c>
      <c r="AJ5" t="s">
        <v>118</v>
      </c>
      <c r="AK5" s="7">
        <v>22</v>
      </c>
      <c r="AN5">
        <v>45.39</v>
      </c>
      <c r="AO5">
        <v>21.32</v>
      </c>
      <c r="AP5">
        <v>223.13</v>
      </c>
      <c r="AT5" t="s">
        <v>119</v>
      </c>
      <c r="AU5" t="s">
        <v>135</v>
      </c>
      <c r="AV5" t="s">
        <v>121</v>
      </c>
      <c r="AY5" t="s">
        <v>122</v>
      </c>
      <c r="AZ5" t="s">
        <v>123</v>
      </c>
      <c r="BO5" t="s">
        <v>124</v>
      </c>
      <c r="BP5" t="s">
        <v>125</v>
      </c>
      <c r="BQ5" t="s">
        <v>147</v>
      </c>
      <c r="BR5" t="s">
        <v>147</v>
      </c>
      <c r="BS5" t="s">
        <v>149</v>
      </c>
      <c r="BX5" t="s">
        <v>127</v>
      </c>
      <c r="BY5" t="s">
        <v>128</v>
      </c>
      <c r="BZ5" t="s">
        <v>152</v>
      </c>
      <c r="CA5" t="s">
        <v>147</v>
      </c>
      <c r="CB5" s="7">
        <v>15.6</v>
      </c>
      <c r="CC5">
        <v>15</v>
      </c>
      <c r="CD5" s="7">
        <v>4</v>
      </c>
      <c r="CE5" s="7">
        <v>223.13</v>
      </c>
      <c r="CF5" s="7">
        <v>112.06</v>
      </c>
      <c r="CG5" s="7">
        <f t="shared" si="1"/>
        <v>111.07</v>
      </c>
      <c r="CH5" s="7">
        <v>45.39</v>
      </c>
      <c r="CI5" s="7">
        <v>29.95</v>
      </c>
      <c r="CJ5" s="7">
        <v>21.32</v>
      </c>
      <c r="CK5" s="6">
        <v>45938.4375</v>
      </c>
      <c r="CL5" t="s">
        <v>5</v>
      </c>
      <c r="CN5" t="s">
        <v>129</v>
      </c>
    </row>
    <row r="6" spans="1:92">
      <c r="A6" t="s">
        <v>153</v>
      </c>
      <c r="B6" s="6">
        <v>45939.416666666701</v>
      </c>
      <c r="C6" s="7">
        <v>70</v>
      </c>
      <c r="D6" s="7">
        <v>15</v>
      </c>
      <c r="E6" s="7">
        <v>1082</v>
      </c>
      <c r="F6" s="7">
        <v>67.599999999999994</v>
      </c>
      <c r="H6" s="7">
        <v>93.06</v>
      </c>
      <c r="I6" s="7">
        <f t="shared" si="0"/>
        <v>105.19999999999999</v>
      </c>
      <c r="J6" s="7">
        <v>23</v>
      </c>
      <c r="K6" s="7">
        <v>175</v>
      </c>
      <c r="L6" s="7">
        <v>166</v>
      </c>
      <c r="M6" s="7">
        <v>3.09</v>
      </c>
      <c r="N6" s="7">
        <v>66</v>
      </c>
      <c r="Q6" s="7"/>
      <c r="AA6" t="s">
        <v>147</v>
      </c>
      <c r="AB6" s="6">
        <v>45939.416666666701</v>
      </c>
      <c r="AC6" t="s">
        <v>114</v>
      </c>
      <c r="AD6" t="s">
        <v>115</v>
      </c>
      <c r="AE6" t="s">
        <v>116</v>
      </c>
      <c r="AF6">
        <v>15</v>
      </c>
      <c r="AG6" t="s">
        <v>148</v>
      </c>
      <c r="AH6">
        <v>4</v>
      </c>
      <c r="AJ6" t="s">
        <v>118</v>
      </c>
      <c r="AK6" s="7">
        <v>20</v>
      </c>
      <c r="AN6">
        <v>54.76</v>
      </c>
      <c r="AO6">
        <v>20.059999999999999</v>
      </c>
      <c r="AP6">
        <v>198.26</v>
      </c>
      <c r="AT6" t="s">
        <v>119</v>
      </c>
      <c r="AU6" t="s">
        <v>137</v>
      </c>
      <c r="AV6" t="s">
        <v>121</v>
      </c>
      <c r="AY6" t="s">
        <v>122</v>
      </c>
      <c r="AZ6" t="s">
        <v>123</v>
      </c>
      <c r="BO6" t="s">
        <v>124</v>
      </c>
      <c r="BP6" t="s">
        <v>125</v>
      </c>
      <c r="BQ6" t="s">
        <v>147</v>
      </c>
      <c r="BR6" t="s">
        <v>147</v>
      </c>
      <c r="BS6" t="s">
        <v>149</v>
      </c>
      <c r="BX6" t="s">
        <v>127</v>
      </c>
      <c r="BY6" t="s">
        <v>128</v>
      </c>
      <c r="BZ6" t="s">
        <v>153</v>
      </c>
      <c r="CA6" t="s">
        <v>147</v>
      </c>
      <c r="CB6" s="7">
        <v>15.8</v>
      </c>
      <c r="CC6">
        <v>15</v>
      </c>
      <c r="CD6" s="7">
        <v>4</v>
      </c>
      <c r="CE6" s="7">
        <v>198.26</v>
      </c>
      <c r="CF6" s="7">
        <v>93.06</v>
      </c>
      <c r="CG6" s="7">
        <f t="shared" si="1"/>
        <v>105.19999999999999</v>
      </c>
      <c r="CH6" s="7">
        <v>54.76</v>
      </c>
      <c r="CI6" s="7">
        <v>37.020000000000003</v>
      </c>
      <c r="CJ6" s="7">
        <v>20.059999999999999</v>
      </c>
      <c r="CK6" s="6">
        <v>45939.416666666701</v>
      </c>
      <c r="CL6" t="s">
        <v>5</v>
      </c>
      <c r="CN6" t="s">
        <v>129</v>
      </c>
    </row>
    <row r="7" spans="1:92">
      <c r="A7" t="s">
        <v>154</v>
      </c>
      <c r="B7" s="6">
        <v>45940.416666666701</v>
      </c>
      <c r="C7" s="7">
        <v>94</v>
      </c>
      <c r="D7" s="7">
        <v>15</v>
      </c>
      <c r="E7" s="7">
        <v>1068.4000000000001</v>
      </c>
      <c r="F7" s="7">
        <v>78.23</v>
      </c>
      <c r="H7" s="7">
        <v>59.38</v>
      </c>
      <c r="I7" s="7">
        <f t="shared" si="0"/>
        <v>74.02000000000001</v>
      </c>
      <c r="J7" s="7">
        <v>13</v>
      </c>
      <c r="K7" s="7">
        <v>61</v>
      </c>
      <c r="L7" s="7">
        <v>63</v>
      </c>
      <c r="M7" s="7">
        <v>3.5</v>
      </c>
      <c r="N7" s="7">
        <v>57</v>
      </c>
      <c r="Q7" s="7">
        <v>3.67</v>
      </c>
      <c r="AA7" t="s">
        <v>147</v>
      </c>
      <c r="AB7" s="6">
        <v>45940.416666666701</v>
      </c>
      <c r="AC7" t="s">
        <v>114</v>
      </c>
      <c r="AD7" t="s">
        <v>115</v>
      </c>
      <c r="AE7" t="s">
        <v>116</v>
      </c>
      <c r="AF7">
        <v>15</v>
      </c>
      <c r="AG7" t="s">
        <v>148</v>
      </c>
      <c r="AH7">
        <v>4</v>
      </c>
      <c r="AJ7" t="s">
        <v>118</v>
      </c>
      <c r="AK7" s="7">
        <v>17</v>
      </c>
      <c r="AN7">
        <v>68.430000000000007</v>
      </c>
      <c r="AO7">
        <v>20.2</v>
      </c>
      <c r="AP7">
        <v>133.4</v>
      </c>
      <c r="AT7" t="s">
        <v>119</v>
      </c>
      <c r="AU7" t="s">
        <v>139</v>
      </c>
      <c r="AV7" t="s">
        <v>121</v>
      </c>
      <c r="AY7" t="s">
        <v>122</v>
      </c>
      <c r="AZ7" t="s">
        <v>123</v>
      </c>
      <c r="BO7" t="s">
        <v>124</v>
      </c>
      <c r="BP7" t="s">
        <v>125</v>
      </c>
      <c r="BQ7" t="s">
        <v>147</v>
      </c>
      <c r="BR7" t="s">
        <v>147</v>
      </c>
      <c r="BS7" t="s">
        <v>149</v>
      </c>
      <c r="BX7" t="s">
        <v>127</v>
      </c>
      <c r="BY7" t="s">
        <v>128</v>
      </c>
      <c r="BZ7" t="s">
        <v>154</v>
      </c>
      <c r="CA7" t="s">
        <v>147</v>
      </c>
      <c r="CB7" s="7">
        <v>16</v>
      </c>
      <c r="CC7">
        <v>15</v>
      </c>
      <c r="CD7" s="7">
        <v>4</v>
      </c>
      <c r="CE7" s="7">
        <v>133.4</v>
      </c>
      <c r="CF7" s="7">
        <v>59.38</v>
      </c>
      <c r="CG7" s="7">
        <f t="shared" si="1"/>
        <v>74.02000000000001</v>
      </c>
      <c r="CH7" s="7">
        <v>68.430000000000007</v>
      </c>
      <c r="CI7" s="7">
        <v>53.53</v>
      </c>
      <c r="CJ7" s="7">
        <v>20.2</v>
      </c>
      <c r="CK7" s="6">
        <v>45940.416666666701</v>
      </c>
      <c r="CL7" t="s">
        <v>5</v>
      </c>
      <c r="CN7" t="s">
        <v>129</v>
      </c>
    </row>
    <row r="8" spans="1:92">
      <c r="A8" t="s">
        <v>299</v>
      </c>
      <c r="B8" s="6">
        <f>B2+4</f>
        <v>45940.5</v>
      </c>
      <c r="C8" s="7">
        <v>96</v>
      </c>
      <c r="D8" s="7"/>
      <c r="E8" s="7"/>
      <c r="F8" s="7"/>
      <c r="H8" s="7"/>
      <c r="I8" s="7"/>
      <c r="J8" s="7"/>
      <c r="K8" s="7"/>
      <c r="L8" s="7"/>
      <c r="M8" s="7"/>
      <c r="N8" s="7"/>
      <c r="Q8" s="7"/>
      <c r="R8">
        <v>100</v>
      </c>
      <c r="AB8" s="6"/>
      <c r="AK8" s="7"/>
      <c r="CB8" s="7"/>
      <c r="CD8" s="7"/>
      <c r="CE8" s="7"/>
      <c r="CF8" s="7"/>
      <c r="CG8" s="7"/>
      <c r="CH8" s="7"/>
      <c r="CI8" s="7"/>
      <c r="CJ8" s="7"/>
      <c r="CK8" s="6"/>
    </row>
    <row r="9" spans="1:92">
      <c r="A9" t="s">
        <v>155</v>
      </c>
      <c r="B9" s="6">
        <v>45943.395833333299</v>
      </c>
      <c r="C9" s="7">
        <v>165.5</v>
      </c>
      <c r="D9" s="7">
        <v>15</v>
      </c>
      <c r="E9" s="7">
        <v>1030.4000000000001</v>
      </c>
      <c r="F9" s="7">
        <v>72.41</v>
      </c>
      <c r="H9" s="7">
        <v>25.65</v>
      </c>
      <c r="I9" s="7">
        <f t="shared" si="0"/>
        <v>59.919999999999995</v>
      </c>
      <c r="J9" s="7">
        <v>52</v>
      </c>
      <c r="K9" s="7">
        <v>23</v>
      </c>
      <c r="L9" s="7">
        <v>71</v>
      </c>
      <c r="M9" s="7">
        <v>6.55</v>
      </c>
      <c r="N9" s="7">
        <v>43</v>
      </c>
      <c r="Q9" s="7">
        <v>7.84</v>
      </c>
      <c r="AA9" t="s">
        <v>147</v>
      </c>
      <c r="AB9" s="6">
        <v>45943.395833333299</v>
      </c>
      <c r="AC9" t="s">
        <v>114</v>
      </c>
      <c r="AD9" t="s">
        <v>115</v>
      </c>
      <c r="AE9" t="s">
        <v>116</v>
      </c>
      <c r="AF9">
        <v>15</v>
      </c>
      <c r="AG9" t="s">
        <v>148</v>
      </c>
      <c r="AH9">
        <v>4</v>
      </c>
      <c r="AJ9" t="s">
        <v>118</v>
      </c>
      <c r="AK9" s="7">
        <v>8</v>
      </c>
      <c r="AN9">
        <v>82.95</v>
      </c>
      <c r="AO9">
        <v>11.76</v>
      </c>
      <c r="AP9">
        <v>85.57</v>
      </c>
      <c r="AT9" t="s">
        <v>119</v>
      </c>
      <c r="AU9" t="s">
        <v>141</v>
      </c>
      <c r="AV9" t="s">
        <v>121</v>
      </c>
      <c r="AY9" t="s">
        <v>122</v>
      </c>
      <c r="AZ9" t="s">
        <v>123</v>
      </c>
      <c r="BO9" t="s">
        <v>124</v>
      </c>
      <c r="BP9" t="s">
        <v>125</v>
      </c>
      <c r="BQ9" t="s">
        <v>147</v>
      </c>
      <c r="BR9" t="s">
        <v>147</v>
      </c>
      <c r="BS9" t="s">
        <v>149</v>
      </c>
      <c r="BX9" t="s">
        <v>127</v>
      </c>
      <c r="BY9" t="s">
        <v>128</v>
      </c>
      <c r="BZ9" t="s">
        <v>155</v>
      </c>
      <c r="CA9" t="s">
        <v>147</v>
      </c>
      <c r="CB9" s="7">
        <v>17.8</v>
      </c>
      <c r="CC9">
        <v>15</v>
      </c>
      <c r="CD9" s="7">
        <v>4</v>
      </c>
      <c r="CE9" s="7">
        <v>85.57</v>
      </c>
      <c r="CF9" s="7">
        <v>25.65</v>
      </c>
      <c r="CG9" s="7">
        <f t="shared" si="1"/>
        <v>59.919999999999995</v>
      </c>
      <c r="CH9" s="7">
        <v>82.95</v>
      </c>
      <c r="CI9" s="7">
        <v>60.06</v>
      </c>
      <c r="CJ9" s="7">
        <v>11.76</v>
      </c>
      <c r="CK9" s="6">
        <v>45943.395833333299</v>
      </c>
      <c r="CL9" t="s">
        <v>5</v>
      </c>
      <c r="CN9" t="s">
        <v>129</v>
      </c>
    </row>
    <row r="10" spans="1:92">
      <c r="A10" t="s">
        <v>156</v>
      </c>
      <c r="B10" s="6">
        <v>45944.416666666701</v>
      </c>
      <c r="C10" s="7">
        <v>190</v>
      </c>
      <c r="D10" s="7">
        <v>15</v>
      </c>
      <c r="E10" s="7">
        <v>1022.2</v>
      </c>
      <c r="F10" s="7">
        <v>69.55</v>
      </c>
      <c r="H10" s="7">
        <v>15.65</v>
      </c>
      <c r="I10" s="7">
        <f t="shared" si="0"/>
        <v>50.440000000000005</v>
      </c>
      <c r="J10" s="7">
        <v>53</v>
      </c>
      <c r="K10" s="7">
        <v>15</v>
      </c>
      <c r="L10" s="7">
        <v>65</v>
      </c>
      <c r="M10" s="7">
        <v>6.74</v>
      </c>
      <c r="N10" s="7">
        <v>45</v>
      </c>
      <c r="Q10" s="7"/>
      <c r="AA10" t="s">
        <v>147</v>
      </c>
      <c r="AB10" s="6">
        <v>45944.416666666701</v>
      </c>
      <c r="AC10" t="s">
        <v>114</v>
      </c>
      <c r="AD10" t="s">
        <v>115</v>
      </c>
      <c r="AE10" t="s">
        <v>116</v>
      </c>
      <c r="AF10">
        <v>15</v>
      </c>
      <c r="AG10" t="s">
        <v>148</v>
      </c>
      <c r="AH10">
        <v>4</v>
      </c>
      <c r="AJ10" t="s">
        <v>118</v>
      </c>
      <c r="AK10" s="7">
        <v>5.9</v>
      </c>
      <c r="AN10">
        <v>85.25</v>
      </c>
      <c r="AO10">
        <v>9.82</v>
      </c>
      <c r="AP10">
        <v>66.09</v>
      </c>
      <c r="AT10" t="s">
        <v>119</v>
      </c>
      <c r="AU10" t="s">
        <v>143</v>
      </c>
      <c r="AV10" t="s">
        <v>121</v>
      </c>
      <c r="AY10" t="s">
        <v>122</v>
      </c>
      <c r="AZ10" t="s">
        <v>123</v>
      </c>
      <c r="BO10" t="s">
        <v>124</v>
      </c>
      <c r="BP10" t="s">
        <v>125</v>
      </c>
      <c r="BQ10" t="s">
        <v>147</v>
      </c>
      <c r="BR10" t="s">
        <v>147</v>
      </c>
      <c r="BS10" t="s">
        <v>149</v>
      </c>
      <c r="BX10" t="s">
        <v>127</v>
      </c>
      <c r="BY10" t="s">
        <v>128</v>
      </c>
      <c r="BZ10" t="s">
        <v>156</v>
      </c>
      <c r="CA10" t="s">
        <v>147</v>
      </c>
      <c r="CB10" s="7">
        <v>16.5</v>
      </c>
      <c r="CC10">
        <v>15</v>
      </c>
      <c r="CD10" s="7">
        <v>4</v>
      </c>
      <c r="CE10" s="7">
        <v>66.09</v>
      </c>
      <c r="CF10" s="7">
        <v>15.65</v>
      </c>
      <c r="CG10" s="7">
        <f t="shared" si="1"/>
        <v>50.440000000000005</v>
      </c>
      <c r="CH10" s="7">
        <v>85.25</v>
      </c>
      <c r="CI10" s="7">
        <v>59.29</v>
      </c>
      <c r="CJ10" s="7">
        <v>9.82</v>
      </c>
      <c r="CK10" s="6">
        <v>45944.416666666701</v>
      </c>
      <c r="CL10" t="s">
        <v>5</v>
      </c>
      <c r="CN10" t="s">
        <v>129</v>
      </c>
    </row>
    <row r="11" spans="1:92">
      <c r="A11" t="s">
        <v>157</v>
      </c>
      <c r="B11" s="6">
        <v>45945.375</v>
      </c>
      <c r="C11" s="7">
        <v>213</v>
      </c>
      <c r="D11" s="7">
        <v>15</v>
      </c>
      <c r="E11" s="7">
        <v>1014.7</v>
      </c>
      <c r="F11" s="7">
        <v>69.760000000000005</v>
      </c>
      <c r="H11" s="7">
        <v>9.99</v>
      </c>
      <c r="I11" s="7">
        <f t="shared" si="0"/>
        <v>42.07</v>
      </c>
      <c r="J11" s="7">
        <v>51</v>
      </c>
      <c r="K11" s="7">
        <v>10</v>
      </c>
      <c r="L11" s="7">
        <v>60</v>
      </c>
      <c r="M11" s="7">
        <v>6.91</v>
      </c>
      <c r="N11" s="7">
        <v>26</v>
      </c>
      <c r="Q11" s="7">
        <v>10.64</v>
      </c>
      <c r="AA11" t="s">
        <v>147</v>
      </c>
      <c r="AB11" s="6">
        <v>45945.375</v>
      </c>
      <c r="AC11" t="s">
        <v>114</v>
      </c>
      <c r="AD11" t="s">
        <v>115</v>
      </c>
      <c r="AE11" t="s">
        <v>116</v>
      </c>
      <c r="AF11">
        <v>15</v>
      </c>
      <c r="AG11" t="s">
        <v>148</v>
      </c>
      <c r="AH11">
        <v>4</v>
      </c>
      <c r="AJ11" t="s">
        <v>118</v>
      </c>
      <c r="AK11" s="7">
        <v>4.0999999999999996</v>
      </c>
      <c r="AN11">
        <v>78.73</v>
      </c>
      <c r="AO11">
        <v>8.8800000000000008</v>
      </c>
      <c r="AP11">
        <v>52.06</v>
      </c>
      <c r="AT11" t="s">
        <v>119</v>
      </c>
      <c r="AU11" t="s">
        <v>145</v>
      </c>
      <c r="AV11" t="s">
        <v>121</v>
      </c>
      <c r="AY11" t="s">
        <v>122</v>
      </c>
      <c r="AZ11" t="s">
        <v>123</v>
      </c>
      <c r="BO11" t="s">
        <v>124</v>
      </c>
      <c r="BP11" t="s">
        <v>125</v>
      </c>
      <c r="BQ11" t="s">
        <v>147</v>
      </c>
      <c r="BR11" t="s">
        <v>147</v>
      </c>
      <c r="BS11" t="s">
        <v>149</v>
      </c>
      <c r="BX11" t="s">
        <v>127</v>
      </c>
      <c r="BY11" t="s">
        <v>128</v>
      </c>
      <c r="BZ11" t="s">
        <v>157</v>
      </c>
      <c r="CA11" t="s">
        <v>147</v>
      </c>
      <c r="CB11" s="7">
        <v>16.7</v>
      </c>
      <c r="CC11">
        <v>15</v>
      </c>
      <c r="CD11" s="7">
        <v>4</v>
      </c>
      <c r="CE11" s="7">
        <v>52.06</v>
      </c>
      <c r="CF11" s="7">
        <v>9.99</v>
      </c>
      <c r="CG11" s="7">
        <f t="shared" si="1"/>
        <v>42.07</v>
      </c>
      <c r="CH11" s="7">
        <v>78.73</v>
      </c>
      <c r="CI11" s="7">
        <v>54.92</v>
      </c>
      <c r="CJ11" s="7">
        <v>8.8800000000000008</v>
      </c>
      <c r="CK11" s="6">
        <v>45945.375</v>
      </c>
      <c r="CL11" t="s">
        <v>5</v>
      </c>
      <c r="CN11" t="s">
        <v>129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11"/>
  <sheetViews>
    <sheetView workbookViewId="0">
      <selection activeCell="A6" sqref="A6"/>
    </sheetView>
  </sheetViews>
  <sheetFormatPr baseColWidth="10" defaultColWidth="9" defaultRowHeight="14.25"/>
  <cols>
    <col min="1" max="3" width="18" customWidth="1"/>
    <col min="4" max="92" width="13" customWidth="1"/>
  </cols>
  <sheetData>
    <row r="1" spans="1:92" ht="60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67</v>
      </c>
      <c r="AW1" s="1" t="s">
        <v>68</v>
      </c>
      <c r="AX1" s="1" t="s">
        <v>69</v>
      </c>
      <c r="AY1" s="1" t="s">
        <v>70</v>
      </c>
      <c r="AZ1" s="1" t="s">
        <v>71</v>
      </c>
      <c r="BA1" s="1" t="s">
        <v>72</v>
      </c>
      <c r="BB1" s="1" t="s">
        <v>73</v>
      </c>
      <c r="BC1" s="1" t="s">
        <v>74</v>
      </c>
      <c r="BD1" s="1" t="s">
        <v>75</v>
      </c>
      <c r="BE1" s="1" t="s">
        <v>76</v>
      </c>
      <c r="BF1" s="1" t="s">
        <v>77</v>
      </c>
      <c r="BG1" s="1" t="s">
        <v>78</v>
      </c>
      <c r="BH1" s="1" t="s">
        <v>79</v>
      </c>
      <c r="BI1" s="1" t="s">
        <v>80</v>
      </c>
      <c r="BJ1" s="1" t="s">
        <v>81</v>
      </c>
      <c r="BK1" s="1" t="s">
        <v>82</v>
      </c>
      <c r="BL1" s="1" t="s">
        <v>83</v>
      </c>
      <c r="BM1" s="1" t="s">
        <v>84</v>
      </c>
      <c r="BN1" s="1" t="s">
        <v>85</v>
      </c>
      <c r="BO1" s="1" t="s">
        <v>86</v>
      </c>
      <c r="BP1" s="1" t="s">
        <v>87</v>
      </c>
      <c r="BQ1" s="1" t="s">
        <v>88</v>
      </c>
      <c r="BR1" s="1" t="s">
        <v>89</v>
      </c>
      <c r="BS1" s="1" t="s">
        <v>90</v>
      </c>
      <c r="BT1" s="1" t="s">
        <v>91</v>
      </c>
      <c r="BU1" s="1" t="s">
        <v>92</v>
      </c>
      <c r="BV1" s="1" t="s">
        <v>93</v>
      </c>
      <c r="BW1" s="1" t="s">
        <v>94</v>
      </c>
      <c r="BX1" s="1" t="s">
        <v>95</v>
      </c>
      <c r="BY1" s="1" t="s">
        <v>96</v>
      </c>
      <c r="BZ1" s="1" t="s">
        <v>97</v>
      </c>
      <c r="CA1" s="1" t="s">
        <v>98</v>
      </c>
      <c r="CB1" s="1" t="s">
        <v>99</v>
      </c>
      <c r="CC1" s="1" t="s">
        <v>100</v>
      </c>
      <c r="CD1" s="1" t="s">
        <v>101</v>
      </c>
      <c r="CE1" s="1" t="s">
        <v>102</v>
      </c>
      <c r="CF1" s="1" t="s">
        <v>103</v>
      </c>
      <c r="CG1" s="1" t="s">
        <v>104</v>
      </c>
      <c r="CH1" s="1" t="s">
        <v>105</v>
      </c>
      <c r="CI1" s="1" t="s">
        <v>106</v>
      </c>
      <c r="CJ1" s="1" t="s">
        <v>107</v>
      </c>
      <c r="CK1" s="1" t="s">
        <v>108</v>
      </c>
      <c r="CL1" s="1" t="s">
        <v>109</v>
      </c>
      <c r="CM1" s="1" t="s">
        <v>110</v>
      </c>
      <c r="CN1" s="1" t="s">
        <v>111</v>
      </c>
    </row>
    <row r="2" spans="1:92">
      <c r="A2" t="s">
        <v>158</v>
      </c>
      <c r="B2" s="6">
        <v>45936.5</v>
      </c>
      <c r="C2" s="7">
        <v>0</v>
      </c>
      <c r="D2" s="7">
        <v>23</v>
      </c>
      <c r="E2" s="7">
        <v>1095.4000000000001</v>
      </c>
      <c r="F2" s="7"/>
      <c r="H2" s="7">
        <v>120.89</v>
      </c>
      <c r="I2" s="7">
        <f>IF(OR(CE2="",CF2=""),"",CE2-CF2)</f>
        <v>114.19000000000001</v>
      </c>
      <c r="J2" s="7">
        <v>21</v>
      </c>
      <c r="K2" s="7">
        <v>263</v>
      </c>
      <c r="L2" s="7">
        <v>236</v>
      </c>
      <c r="M2" s="7">
        <v>0.38</v>
      </c>
      <c r="N2" s="7">
        <v>1</v>
      </c>
      <c r="Q2" s="7">
        <v>0</v>
      </c>
      <c r="AA2" t="s">
        <v>159</v>
      </c>
      <c r="AB2" s="6">
        <v>45936.5</v>
      </c>
      <c r="AC2" t="s">
        <v>114</v>
      </c>
      <c r="AD2" t="s">
        <v>115</v>
      </c>
      <c r="AE2" t="s">
        <v>116</v>
      </c>
      <c r="AF2">
        <v>23</v>
      </c>
      <c r="AG2" t="s">
        <v>160</v>
      </c>
      <c r="AH2">
        <v>1</v>
      </c>
      <c r="AJ2" t="s">
        <v>118</v>
      </c>
      <c r="AK2" s="7">
        <v>23.1</v>
      </c>
      <c r="AN2">
        <v>15</v>
      </c>
      <c r="AP2">
        <v>235.08</v>
      </c>
      <c r="AT2" t="s">
        <v>119</v>
      </c>
      <c r="AU2" t="s">
        <v>120</v>
      </c>
      <c r="AV2" t="s">
        <v>121</v>
      </c>
      <c r="AY2" t="s">
        <v>122</v>
      </c>
      <c r="AZ2" t="s">
        <v>123</v>
      </c>
      <c r="BO2" t="s">
        <v>124</v>
      </c>
      <c r="BP2" t="s">
        <v>125</v>
      </c>
      <c r="BQ2" t="s">
        <v>159</v>
      </c>
      <c r="BR2" t="s">
        <v>159</v>
      </c>
      <c r="BS2" t="s">
        <v>161</v>
      </c>
      <c r="BX2" t="s">
        <v>127</v>
      </c>
      <c r="BY2" t="s">
        <v>128</v>
      </c>
      <c r="BZ2" t="s">
        <v>158</v>
      </c>
      <c r="CA2" t="s">
        <v>159</v>
      </c>
      <c r="CB2" s="7">
        <v>18.8</v>
      </c>
      <c r="CC2">
        <v>23</v>
      </c>
      <c r="CD2" s="7">
        <v>1</v>
      </c>
      <c r="CE2" s="7">
        <v>235.08</v>
      </c>
      <c r="CF2" s="7">
        <v>120.89</v>
      </c>
      <c r="CG2" s="7">
        <f>IF(OR(CE2="",CF2=""),"",CE2-CF2)</f>
        <v>114.19000000000001</v>
      </c>
      <c r="CH2" s="7">
        <v>15</v>
      </c>
      <c r="CI2" s="7"/>
      <c r="CJ2" s="7"/>
      <c r="CK2" s="6">
        <v>45936.5</v>
      </c>
      <c r="CL2" t="s">
        <v>5</v>
      </c>
      <c r="CN2" t="s">
        <v>129</v>
      </c>
    </row>
    <row r="3" spans="1:92">
      <c r="A3" t="s">
        <v>162</v>
      </c>
      <c r="B3" s="6">
        <v>45936.645833333299</v>
      </c>
      <c r="C3" s="7">
        <v>3.5</v>
      </c>
      <c r="D3" s="7">
        <v>23</v>
      </c>
      <c r="E3" s="7">
        <v>1093.5</v>
      </c>
      <c r="F3" s="7">
        <v>51.57</v>
      </c>
      <c r="H3" s="7">
        <v>117.57</v>
      </c>
      <c r="I3" s="7">
        <f t="shared" ref="I3:I11" si="0">IF(OR(CE3="",CF3=""),"",CE3-CF3)</f>
        <v>115.11000000000001</v>
      </c>
      <c r="J3" s="7">
        <v>91</v>
      </c>
      <c r="K3" s="7">
        <v>244</v>
      </c>
      <c r="L3" s="7">
        <v>291</v>
      </c>
      <c r="M3" s="7">
        <v>0.54</v>
      </c>
      <c r="N3" s="7">
        <v>5</v>
      </c>
      <c r="Q3" s="7"/>
      <c r="AA3" t="s">
        <v>159</v>
      </c>
      <c r="AB3" s="6">
        <v>45936.645833333299</v>
      </c>
      <c r="AC3" t="s">
        <v>114</v>
      </c>
      <c r="AD3" t="s">
        <v>115</v>
      </c>
      <c r="AE3" t="s">
        <v>116</v>
      </c>
      <c r="AF3">
        <v>23</v>
      </c>
      <c r="AG3" t="s">
        <v>160</v>
      </c>
      <c r="AH3">
        <v>1</v>
      </c>
      <c r="AJ3" t="s">
        <v>118</v>
      </c>
      <c r="AK3" s="7">
        <v>23</v>
      </c>
      <c r="AN3">
        <v>21.815000000000001</v>
      </c>
      <c r="AO3">
        <v>13.2</v>
      </c>
      <c r="AP3">
        <v>232.68</v>
      </c>
      <c r="AT3" t="s">
        <v>119</v>
      </c>
      <c r="AU3" t="s">
        <v>131</v>
      </c>
      <c r="AV3" t="s">
        <v>121</v>
      </c>
      <c r="AY3" t="s">
        <v>122</v>
      </c>
      <c r="AZ3" t="s">
        <v>123</v>
      </c>
      <c r="BO3" t="s">
        <v>124</v>
      </c>
      <c r="BP3" t="s">
        <v>125</v>
      </c>
      <c r="BQ3" t="s">
        <v>159</v>
      </c>
      <c r="BR3" t="s">
        <v>159</v>
      </c>
      <c r="BS3" t="s">
        <v>161</v>
      </c>
      <c r="BX3" t="s">
        <v>127</v>
      </c>
      <c r="BY3" t="s">
        <v>128</v>
      </c>
      <c r="BZ3" t="s">
        <v>162</v>
      </c>
      <c r="CA3" t="s">
        <v>159</v>
      </c>
      <c r="CB3" s="7">
        <v>23</v>
      </c>
      <c r="CC3">
        <v>23</v>
      </c>
      <c r="CD3" s="7">
        <v>1</v>
      </c>
      <c r="CE3" s="7">
        <v>232.68</v>
      </c>
      <c r="CF3" s="7">
        <v>117.57</v>
      </c>
      <c r="CG3" s="7">
        <f t="shared" ref="CG3:CG11" si="1">IF(OR(CE3="",CF3=""),"",CE3-CF3)</f>
        <v>115.11000000000001</v>
      </c>
      <c r="CH3" s="7">
        <v>21.815000000000001</v>
      </c>
      <c r="CI3" s="7">
        <v>11.25</v>
      </c>
      <c r="CJ3" s="7">
        <v>13.2</v>
      </c>
      <c r="CK3" s="6">
        <v>45936.645833333299</v>
      </c>
      <c r="CL3" t="s">
        <v>5</v>
      </c>
      <c r="CN3" t="s">
        <v>129</v>
      </c>
    </row>
    <row r="4" spans="1:92">
      <c r="A4" t="s">
        <v>163</v>
      </c>
      <c r="B4" s="6">
        <v>45937.4375</v>
      </c>
      <c r="C4" s="7">
        <v>22.5</v>
      </c>
      <c r="D4" s="7">
        <v>23</v>
      </c>
      <c r="E4" s="7">
        <v>1082.5</v>
      </c>
      <c r="F4" s="7">
        <v>73.260000000000005</v>
      </c>
      <c r="H4" s="7">
        <v>98.16</v>
      </c>
      <c r="I4" s="7">
        <f t="shared" si="0"/>
        <v>105.15</v>
      </c>
      <c r="J4" s="7">
        <v>20</v>
      </c>
      <c r="K4" s="7">
        <v>166</v>
      </c>
      <c r="L4" s="7">
        <v>156</v>
      </c>
      <c r="M4" s="7">
        <v>2.63</v>
      </c>
      <c r="N4" s="7">
        <v>59</v>
      </c>
      <c r="Q4" s="7"/>
      <c r="AA4" t="s">
        <v>159</v>
      </c>
      <c r="AB4" s="6">
        <v>45937.4375</v>
      </c>
      <c r="AC4" t="s">
        <v>114</v>
      </c>
      <c r="AD4" t="s">
        <v>115</v>
      </c>
      <c r="AE4" t="s">
        <v>116</v>
      </c>
      <c r="AF4">
        <v>23</v>
      </c>
      <c r="AG4" t="s">
        <v>160</v>
      </c>
      <c r="AH4">
        <v>1</v>
      </c>
      <c r="AJ4" t="s">
        <v>118</v>
      </c>
      <c r="AK4" s="7">
        <v>45797</v>
      </c>
      <c r="AN4">
        <v>55.15</v>
      </c>
      <c r="AO4">
        <v>17.97</v>
      </c>
      <c r="AP4">
        <v>203.31</v>
      </c>
      <c r="AT4" t="s">
        <v>119</v>
      </c>
      <c r="AU4" t="s">
        <v>133</v>
      </c>
      <c r="AV4" t="s">
        <v>121</v>
      </c>
      <c r="AY4" t="s">
        <v>122</v>
      </c>
      <c r="AZ4" t="s">
        <v>123</v>
      </c>
      <c r="BO4" t="s">
        <v>124</v>
      </c>
      <c r="BP4" t="s">
        <v>125</v>
      </c>
      <c r="BQ4" t="s">
        <v>159</v>
      </c>
      <c r="BR4" t="s">
        <v>159</v>
      </c>
      <c r="BS4" t="s">
        <v>161</v>
      </c>
      <c r="BX4" t="s">
        <v>127</v>
      </c>
      <c r="BY4" t="s">
        <v>128</v>
      </c>
      <c r="BZ4" t="s">
        <v>163</v>
      </c>
      <c r="CA4" t="s">
        <v>159</v>
      </c>
      <c r="CB4" s="7">
        <v>23</v>
      </c>
      <c r="CC4">
        <v>23</v>
      </c>
      <c r="CD4" s="7">
        <v>1</v>
      </c>
      <c r="CE4" s="7">
        <v>203.31</v>
      </c>
      <c r="CF4" s="7">
        <v>98.16</v>
      </c>
      <c r="CG4" s="7">
        <f t="shared" si="1"/>
        <v>105.15</v>
      </c>
      <c r="CH4" s="7">
        <v>55.15</v>
      </c>
      <c r="CI4" s="7">
        <v>20.2</v>
      </c>
      <c r="CJ4" s="7">
        <v>17.97</v>
      </c>
      <c r="CK4" s="6">
        <v>45937.4375</v>
      </c>
      <c r="CL4" t="s">
        <v>5</v>
      </c>
      <c r="CM4" t="s">
        <v>164</v>
      </c>
      <c r="CN4" t="s">
        <v>129</v>
      </c>
    </row>
    <row r="5" spans="1:92">
      <c r="A5" t="s">
        <v>301</v>
      </c>
      <c r="B5" s="6">
        <f>B2+1</f>
        <v>45937.5</v>
      </c>
      <c r="C5" s="7">
        <v>24</v>
      </c>
      <c r="D5" s="7"/>
      <c r="E5" s="7"/>
      <c r="F5" s="7"/>
      <c r="H5" s="7"/>
      <c r="I5" s="7"/>
      <c r="J5" s="7"/>
      <c r="K5" s="7"/>
      <c r="L5" s="7"/>
      <c r="M5" s="7"/>
      <c r="N5" s="7"/>
      <c r="Q5" s="7"/>
      <c r="R5">
        <v>100</v>
      </c>
      <c r="AB5" s="6"/>
      <c r="AK5" s="7"/>
      <c r="CB5" s="7"/>
      <c r="CD5" s="7"/>
      <c r="CE5" s="7"/>
      <c r="CF5" s="7"/>
      <c r="CG5" s="7"/>
      <c r="CH5" s="7"/>
      <c r="CI5" s="7"/>
      <c r="CJ5" s="7"/>
      <c r="CK5" s="6"/>
    </row>
    <row r="6" spans="1:92">
      <c r="A6" t="s">
        <v>165</v>
      </c>
      <c r="B6" s="6">
        <v>45938.4375</v>
      </c>
      <c r="C6" s="7">
        <v>46.5</v>
      </c>
      <c r="D6" s="7">
        <v>23</v>
      </c>
      <c r="E6" s="7">
        <v>1045.8</v>
      </c>
      <c r="F6" s="7">
        <v>75.12</v>
      </c>
      <c r="H6" s="7">
        <v>44.39</v>
      </c>
      <c r="I6" s="7">
        <f t="shared" si="0"/>
        <v>79.03</v>
      </c>
      <c r="J6" s="7">
        <v>33</v>
      </c>
      <c r="K6" s="7">
        <v>25</v>
      </c>
      <c r="L6" s="7">
        <v>53</v>
      </c>
      <c r="M6" s="7">
        <v>5.95</v>
      </c>
      <c r="N6" s="7">
        <v>65</v>
      </c>
      <c r="Q6" s="7"/>
      <c r="AA6" t="s">
        <v>159</v>
      </c>
      <c r="AB6" s="6">
        <v>45938.4375</v>
      </c>
      <c r="AC6" t="s">
        <v>114</v>
      </c>
      <c r="AD6" t="s">
        <v>115</v>
      </c>
      <c r="AE6" t="s">
        <v>116</v>
      </c>
      <c r="AF6">
        <v>23</v>
      </c>
      <c r="AG6" t="s">
        <v>160</v>
      </c>
      <c r="AH6">
        <v>1</v>
      </c>
      <c r="AJ6" t="s">
        <v>118</v>
      </c>
      <c r="AK6" s="7">
        <v>12.1</v>
      </c>
      <c r="AN6">
        <v>82.1</v>
      </c>
      <c r="AO6">
        <v>13.38</v>
      </c>
      <c r="AP6">
        <v>123.42</v>
      </c>
      <c r="AT6" t="s">
        <v>119</v>
      </c>
      <c r="AU6" t="s">
        <v>135</v>
      </c>
      <c r="AV6" t="s">
        <v>121</v>
      </c>
      <c r="AY6" t="s">
        <v>122</v>
      </c>
      <c r="AZ6" t="s">
        <v>123</v>
      </c>
      <c r="BO6" t="s">
        <v>124</v>
      </c>
      <c r="BP6" t="s">
        <v>125</v>
      </c>
      <c r="BQ6" t="s">
        <v>159</v>
      </c>
      <c r="BR6" t="s">
        <v>159</v>
      </c>
      <c r="BS6" t="s">
        <v>161</v>
      </c>
      <c r="BX6" t="s">
        <v>127</v>
      </c>
      <c r="BY6" t="s">
        <v>128</v>
      </c>
      <c r="BZ6" t="s">
        <v>165</v>
      </c>
      <c r="CA6" t="s">
        <v>159</v>
      </c>
      <c r="CB6" s="7">
        <v>23.2</v>
      </c>
      <c r="CC6">
        <v>23</v>
      </c>
      <c r="CD6" s="7">
        <v>1</v>
      </c>
      <c r="CE6" s="7">
        <v>123.42</v>
      </c>
      <c r="CF6" s="7">
        <v>44.39</v>
      </c>
      <c r="CG6" s="7">
        <f t="shared" si="1"/>
        <v>79.03</v>
      </c>
      <c r="CH6" s="7">
        <v>82.1</v>
      </c>
      <c r="CI6" s="7">
        <v>61.67</v>
      </c>
      <c r="CJ6" s="7">
        <v>13.38</v>
      </c>
      <c r="CK6" s="6">
        <v>45938.4375</v>
      </c>
      <c r="CL6" t="s">
        <v>5</v>
      </c>
      <c r="CN6" t="s">
        <v>129</v>
      </c>
    </row>
    <row r="7" spans="1:92">
      <c r="A7" t="s">
        <v>166</v>
      </c>
      <c r="B7" s="6">
        <v>45939.416666666701</v>
      </c>
      <c r="C7" s="7">
        <v>70</v>
      </c>
      <c r="D7" s="7">
        <v>23</v>
      </c>
      <c r="E7" s="7">
        <v>1021.7</v>
      </c>
      <c r="F7" s="7">
        <v>73.14</v>
      </c>
      <c r="H7" s="7">
        <v>17.32</v>
      </c>
      <c r="I7" s="7">
        <f t="shared" si="0"/>
        <v>51.96</v>
      </c>
      <c r="J7" s="7">
        <v>33</v>
      </c>
      <c r="K7" s="7">
        <v>1E-4</v>
      </c>
      <c r="L7" s="7">
        <v>31</v>
      </c>
      <c r="M7" s="7">
        <v>6.8</v>
      </c>
      <c r="N7" s="7">
        <v>45</v>
      </c>
      <c r="Q7" s="7"/>
      <c r="AA7" t="s">
        <v>159</v>
      </c>
      <c r="AB7" s="6">
        <v>45939.416666666701</v>
      </c>
      <c r="AC7" t="s">
        <v>114</v>
      </c>
      <c r="AD7" t="s">
        <v>115</v>
      </c>
      <c r="AE7" t="s">
        <v>116</v>
      </c>
      <c r="AF7">
        <v>23</v>
      </c>
      <c r="AG7" t="s">
        <v>160</v>
      </c>
      <c r="AH7">
        <v>1</v>
      </c>
      <c r="AJ7" t="s">
        <v>118</v>
      </c>
      <c r="AK7" s="7">
        <v>6.2</v>
      </c>
      <c r="AN7">
        <v>91.78</v>
      </c>
      <c r="AO7">
        <v>12.05</v>
      </c>
      <c r="AP7">
        <v>69.28</v>
      </c>
      <c r="AT7" t="s">
        <v>119</v>
      </c>
      <c r="AU7" t="s">
        <v>137</v>
      </c>
      <c r="AV7" t="s">
        <v>121</v>
      </c>
      <c r="AY7" t="s">
        <v>122</v>
      </c>
      <c r="AZ7" t="s">
        <v>123</v>
      </c>
      <c r="BO7" t="s">
        <v>124</v>
      </c>
      <c r="BP7" t="s">
        <v>125</v>
      </c>
      <c r="BQ7" t="s">
        <v>159</v>
      </c>
      <c r="BR7" t="s">
        <v>159</v>
      </c>
      <c r="BS7" t="s">
        <v>161</v>
      </c>
      <c r="BX7" t="s">
        <v>127</v>
      </c>
      <c r="BY7" t="s">
        <v>128</v>
      </c>
      <c r="BZ7" t="s">
        <v>166</v>
      </c>
      <c r="CA7" t="s">
        <v>159</v>
      </c>
      <c r="CB7" s="7">
        <v>23.3</v>
      </c>
      <c r="CC7">
        <v>23</v>
      </c>
      <c r="CD7" s="7">
        <v>1</v>
      </c>
      <c r="CE7" s="7">
        <v>69.28</v>
      </c>
      <c r="CF7" s="7">
        <v>17.32</v>
      </c>
      <c r="CG7" s="7">
        <f t="shared" si="1"/>
        <v>51.96</v>
      </c>
      <c r="CH7" s="7">
        <v>91.78</v>
      </c>
      <c r="CI7" s="7">
        <v>67.13</v>
      </c>
      <c r="CJ7" s="7">
        <v>12.05</v>
      </c>
      <c r="CK7" s="6">
        <v>45939.416666666701</v>
      </c>
      <c r="CL7" t="s">
        <v>5</v>
      </c>
      <c r="CN7" t="s">
        <v>129</v>
      </c>
    </row>
    <row r="8" spans="1:92">
      <c r="A8" t="s">
        <v>167</v>
      </c>
      <c r="B8" s="6">
        <v>45940.416666666701</v>
      </c>
      <c r="C8" s="7">
        <v>94</v>
      </c>
      <c r="D8" s="7">
        <v>23</v>
      </c>
      <c r="E8" s="7">
        <v>1009.1</v>
      </c>
      <c r="F8" s="7">
        <v>65.84</v>
      </c>
      <c r="H8" s="7">
        <v>6.87</v>
      </c>
      <c r="I8" s="7">
        <f t="shared" si="0"/>
        <v>26.37</v>
      </c>
      <c r="J8" s="7">
        <v>23</v>
      </c>
      <c r="K8" s="7">
        <v>1E-4</v>
      </c>
      <c r="L8" s="7">
        <v>17</v>
      </c>
      <c r="M8" s="7">
        <v>5.64</v>
      </c>
      <c r="N8" s="7">
        <v>22</v>
      </c>
      <c r="Q8" s="7">
        <v>10.93</v>
      </c>
      <c r="AA8" t="s">
        <v>159</v>
      </c>
      <c r="AB8" s="6">
        <v>45940.416666666701</v>
      </c>
      <c r="AC8" t="s">
        <v>114</v>
      </c>
      <c r="AD8" t="s">
        <v>115</v>
      </c>
      <c r="AE8" t="s">
        <v>116</v>
      </c>
      <c r="AF8">
        <v>23</v>
      </c>
      <c r="AG8" t="s">
        <v>160</v>
      </c>
      <c r="AH8">
        <v>1</v>
      </c>
      <c r="AJ8" t="s">
        <v>118</v>
      </c>
      <c r="AK8" s="7">
        <v>3</v>
      </c>
      <c r="AN8">
        <v>90.17</v>
      </c>
      <c r="AO8">
        <v>8.43</v>
      </c>
      <c r="AP8">
        <v>33.24</v>
      </c>
      <c r="AT8" t="s">
        <v>119</v>
      </c>
      <c r="AU8" t="s">
        <v>139</v>
      </c>
      <c r="AV8" t="s">
        <v>121</v>
      </c>
      <c r="AY8" t="s">
        <v>122</v>
      </c>
      <c r="AZ8" t="s">
        <v>123</v>
      </c>
      <c r="BO8" t="s">
        <v>124</v>
      </c>
      <c r="BP8" t="s">
        <v>125</v>
      </c>
      <c r="BQ8" t="s">
        <v>159</v>
      </c>
      <c r="BR8" t="s">
        <v>159</v>
      </c>
      <c r="BS8" t="s">
        <v>161</v>
      </c>
      <c r="BX8" t="s">
        <v>127</v>
      </c>
      <c r="BY8" t="s">
        <v>128</v>
      </c>
      <c r="BZ8" t="s">
        <v>167</v>
      </c>
      <c r="CA8" t="s">
        <v>159</v>
      </c>
      <c r="CB8" s="7">
        <v>23.1</v>
      </c>
      <c r="CC8">
        <v>23</v>
      </c>
      <c r="CD8" s="7">
        <v>1</v>
      </c>
      <c r="CE8" s="7">
        <v>33.24</v>
      </c>
      <c r="CF8" s="7">
        <v>6.87</v>
      </c>
      <c r="CG8" s="7">
        <f t="shared" si="1"/>
        <v>26.37</v>
      </c>
      <c r="CH8" s="7">
        <v>90.17</v>
      </c>
      <c r="CI8" s="7">
        <v>59.37</v>
      </c>
      <c r="CJ8" s="7">
        <v>8.43</v>
      </c>
      <c r="CK8" s="6">
        <v>45940.416666666701</v>
      </c>
      <c r="CL8" t="s">
        <v>5</v>
      </c>
      <c r="CN8" t="s">
        <v>129</v>
      </c>
    </row>
    <row r="9" spans="1:92">
      <c r="A9" t="s">
        <v>168</v>
      </c>
      <c r="B9" s="6">
        <v>45943.395833333299</v>
      </c>
      <c r="C9" s="7">
        <v>165.5</v>
      </c>
      <c r="D9" s="7">
        <v>23</v>
      </c>
      <c r="E9" s="7">
        <v>990.9</v>
      </c>
      <c r="F9" s="7">
        <v>58.96</v>
      </c>
      <c r="H9" s="7">
        <v>1.58</v>
      </c>
      <c r="I9" s="7">
        <f t="shared" si="0"/>
        <v>1.56</v>
      </c>
      <c r="J9" s="7">
        <v>38</v>
      </c>
      <c r="K9" s="7">
        <v>1E-4</v>
      </c>
      <c r="L9" s="7">
        <v>26</v>
      </c>
      <c r="M9" s="7">
        <v>7.34</v>
      </c>
      <c r="N9" s="7">
        <v>22</v>
      </c>
      <c r="Q9" s="7">
        <v>13.64</v>
      </c>
      <c r="AA9" t="s">
        <v>159</v>
      </c>
      <c r="AB9" s="6">
        <v>45943.395833333299</v>
      </c>
      <c r="AC9" t="s">
        <v>114</v>
      </c>
      <c r="AD9" t="s">
        <v>115</v>
      </c>
      <c r="AE9" t="s">
        <v>116</v>
      </c>
      <c r="AF9">
        <v>23</v>
      </c>
      <c r="AG9" t="s">
        <v>160</v>
      </c>
      <c r="AH9">
        <v>1</v>
      </c>
      <c r="AJ9" t="s">
        <v>118</v>
      </c>
      <c r="AK9" s="7">
        <v>-1.7</v>
      </c>
      <c r="AN9">
        <v>78.03</v>
      </c>
      <c r="AO9">
        <v>9.06</v>
      </c>
      <c r="AP9">
        <v>3.14</v>
      </c>
      <c r="AT9" t="s">
        <v>119</v>
      </c>
      <c r="AU9" t="s">
        <v>141</v>
      </c>
      <c r="AV9" t="s">
        <v>121</v>
      </c>
      <c r="AY9" t="s">
        <v>122</v>
      </c>
      <c r="AZ9" t="s">
        <v>123</v>
      </c>
      <c r="BO9" t="s">
        <v>124</v>
      </c>
      <c r="BP9" t="s">
        <v>125</v>
      </c>
      <c r="BQ9" t="s">
        <v>159</v>
      </c>
      <c r="BR9" t="s">
        <v>159</v>
      </c>
      <c r="BS9" t="s">
        <v>161</v>
      </c>
      <c r="BX9" t="s">
        <v>127</v>
      </c>
      <c r="BY9" t="s">
        <v>128</v>
      </c>
      <c r="BZ9" t="s">
        <v>168</v>
      </c>
      <c r="CA9" t="s">
        <v>159</v>
      </c>
      <c r="CB9" s="7">
        <v>23</v>
      </c>
      <c r="CC9">
        <v>23</v>
      </c>
      <c r="CD9" s="7">
        <v>1</v>
      </c>
      <c r="CE9" s="7">
        <v>3.14</v>
      </c>
      <c r="CF9" s="7">
        <v>1.58</v>
      </c>
      <c r="CG9" s="7">
        <f t="shared" si="1"/>
        <v>1.56</v>
      </c>
      <c r="CH9" s="7">
        <v>78.03</v>
      </c>
      <c r="CI9" s="7">
        <v>46.01</v>
      </c>
      <c r="CJ9" s="7">
        <v>9.06</v>
      </c>
      <c r="CK9" s="6">
        <v>45943.395833333299</v>
      </c>
      <c r="CL9" t="s">
        <v>5</v>
      </c>
      <c r="CN9" t="s">
        <v>129</v>
      </c>
    </row>
    <row r="10" spans="1:92">
      <c r="A10" t="s">
        <v>169</v>
      </c>
      <c r="B10" s="6">
        <v>45944.416666666701</v>
      </c>
      <c r="C10" s="7">
        <v>190</v>
      </c>
      <c r="D10" s="7">
        <v>23</v>
      </c>
      <c r="E10" s="7">
        <v>987.6</v>
      </c>
      <c r="F10" s="7">
        <v>53.96</v>
      </c>
      <c r="H10" s="7">
        <v>0.77</v>
      </c>
      <c r="I10" s="7">
        <f t="shared" si="0"/>
        <v>-0.76990000000000003</v>
      </c>
      <c r="J10" s="7">
        <v>36</v>
      </c>
      <c r="K10" s="7">
        <v>1E-4</v>
      </c>
      <c r="L10" s="7">
        <v>27</v>
      </c>
      <c r="M10" s="7">
        <v>7.52</v>
      </c>
      <c r="N10" s="7">
        <v>17</v>
      </c>
      <c r="Q10" s="7"/>
      <c r="AA10" t="s">
        <v>159</v>
      </c>
      <c r="AB10" s="6">
        <v>45944.416666666701</v>
      </c>
      <c r="AC10" t="s">
        <v>114</v>
      </c>
      <c r="AD10" t="s">
        <v>115</v>
      </c>
      <c r="AE10" t="s">
        <v>116</v>
      </c>
      <c r="AF10">
        <v>23</v>
      </c>
      <c r="AG10" t="s">
        <v>160</v>
      </c>
      <c r="AH10">
        <v>1</v>
      </c>
      <c r="AJ10" t="s">
        <v>118</v>
      </c>
      <c r="AK10" s="7">
        <v>-2.6</v>
      </c>
      <c r="AN10">
        <v>80.569999999999993</v>
      </c>
      <c r="AO10">
        <v>7.91</v>
      </c>
      <c r="AP10">
        <v>1E-4</v>
      </c>
      <c r="AT10" t="s">
        <v>119</v>
      </c>
      <c r="AU10" t="s">
        <v>143</v>
      </c>
      <c r="AV10" t="s">
        <v>121</v>
      </c>
      <c r="AY10" t="s">
        <v>122</v>
      </c>
      <c r="AZ10" t="s">
        <v>123</v>
      </c>
      <c r="BO10" t="s">
        <v>124</v>
      </c>
      <c r="BP10" t="s">
        <v>125</v>
      </c>
      <c r="BQ10" t="s">
        <v>159</v>
      </c>
      <c r="BR10" t="s">
        <v>159</v>
      </c>
      <c r="BS10" t="s">
        <v>161</v>
      </c>
      <c r="BX10" t="s">
        <v>127</v>
      </c>
      <c r="BY10" t="s">
        <v>128</v>
      </c>
      <c r="BZ10" t="s">
        <v>169</v>
      </c>
      <c r="CA10" t="s">
        <v>159</v>
      </c>
      <c r="CB10" s="7">
        <v>23.5</v>
      </c>
      <c r="CC10">
        <v>23</v>
      </c>
      <c r="CD10" s="7">
        <v>1</v>
      </c>
      <c r="CE10" s="7">
        <v>1E-4</v>
      </c>
      <c r="CF10" s="7">
        <v>0.77</v>
      </c>
      <c r="CG10" s="7">
        <f t="shared" si="1"/>
        <v>-0.76990000000000003</v>
      </c>
      <c r="CH10" s="7">
        <v>80.569999999999993</v>
      </c>
      <c r="CI10" s="7">
        <v>43.47</v>
      </c>
      <c r="CJ10" s="7">
        <v>7.91</v>
      </c>
      <c r="CK10" s="6">
        <v>45944.416666666701</v>
      </c>
      <c r="CL10" t="s">
        <v>5</v>
      </c>
      <c r="CN10" t="s">
        <v>129</v>
      </c>
    </row>
    <row r="11" spans="1:92">
      <c r="A11" t="s">
        <v>170</v>
      </c>
      <c r="B11" s="6">
        <v>45945.375</v>
      </c>
      <c r="C11" s="7">
        <v>213</v>
      </c>
      <c r="D11" s="7">
        <v>23</v>
      </c>
      <c r="E11" s="7">
        <v>989.8</v>
      </c>
      <c r="F11" s="7">
        <v>48.48</v>
      </c>
      <c r="H11" s="7">
        <v>1.1299999999999999</v>
      </c>
      <c r="I11" s="7">
        <f t="shared" si="0"/>
        <v>0.89000000000000012</v>
      </c>
      <c r="J11" s="7">
        <v>43</v>
      </c>
      <c r="K11" s="7">
        <v>1E-4</v>
      </c>
      <c r="L11" s="7">
        <v>34</v>
      </c>
      <c r="M11" s="7">
        <v>7.24</v>
      </c>
      <c r="N11" s="7">
        <v>9</v>
      </c>
      <c r="Q11" s="7">
        <v>14.02</v>
      </c>
      <c r="AA11" t="s">
        <v>159</v>
      </c>
      <c r="AB11" s="6">
        <v>45945.375</v>
      </c>
      <c r="AC11" t="s">
        <v>114</v>
      </c>
      <c r="AD11" t="s">
        <v>115</v>
      </c>
      <c r="AE11" t="s">
        <v>116</v>
      </c>
      <c r="AF11">
        <v>23</v>
      </c>
      <c r="AG11" t="s">
        <v>160</v>
      </c>
      <c r="AH11">
        <v>1</v>
      </c>
      <c r="AJ11" t="s">
        <v>118</v>
      </c>
      <c r="AK11" s="7">
        <v>-2</v>
      </c>
      <c r="AN11">
        <v>80.95</v>
      </c>
      <c r="AO11">
        <v>12.33</v>
      </c>
      <c r="AP11">
        <v>2.02</v>
      </c>
      <c r="AT11" t="s">
        <v>119</v>
      </c>
      <c r="AU11" t="s">
        <v>145</v>
      </c>
      <c r="AV11" t="s">
        <v>121</v>
      </c>
      <c r="AY11" t="s">
        <v>122</v>
      </c>
      <c r="AZ11" t="s">
        <v>123</v>
      </c>
      <c r="BO11" t="s">
        <v>124</v>
      </c>
      <c r="BP11" t="s">
        <v>125</v>
      </c>
      <c r="BQ11" t="s">
        <v>159</v>
      </c>
      <c r="BR11" t="s">
        <v>159</v>
      </c>
      <c r="BS11" t="s">
        <v>161</v>
      </c>
      <c r="BX11" t="s">
        <v>127</v>
      </c>
      <c r="BY11" t="s">
        <v>128</v>
      </c>
      <c r="BZ11" t="s">
        <v>170</v>
      </c>
      <c r="CA11" t="s">
        <v>159</v>
      </c>
      <c r="CB11" s="7">
        <v>22.8</v>
      </c>
      <c r="CC11">
        <v>23</v>
      </c>
      <c r="CD11" s="7">
        <v>1</v>
      </c>
      <c r="CE11" s="7">
        <v>2.02</v>
      </c>
      <c r="CF11" s="7">
        <v>1.1299999999999999</v>
      </c>
      <c r="CG11" s="7">
        <f t="shared" si="1"/>
        <v>0.89000000000000012</v>
      </c>
      <c r="CH11" s="7">
        <v>80.95</v>
      </c>
      <c r="CI11" s="7">
        <v>39.25</v>
      </c>
      <c r="CJ11" s="7">
        <v>12.33</v>
      </c>
      <c r="CK11" s="6">
        <v>45945.375</v>
      </c>
      <c r="CL11" t="s">
        <v>5</v>
      </c>
      <c r="CN11" t="s">
        <v>129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N11"/>
  <sheetViews>
    <sheetView workbookViewId="0">
      <selection activeCell="A5" sqref="A5:XFD5"/>
    </sheetView>
  </sheetViews>
  <sheetFormatPr baseColWidth="10" defaultColWidth="9" defaultRowHeight="14.25"/>
  <cols>
    <col min="1" max="3" width="18" customWidth="1"/>
    <col min="4" max="92" width="13" customWidth="1"/>
  </cols>
  <sheetData>
    <row r="1" spans="1:92" ht="60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67</v>
      </c>
      <c r="AW1" s="1" t="s">
        <v>68</v>
      </c>
      <c r="AX1" s="1" t="s">
        <v>69</v>
      </c>
      <c r="AY1" s="1" t="s">
        <v>70</v>
      </c>
      <c r="AZ1" s="1" t="s">
        <v>71</v>
      </c>
      <c r="BA1" s="1" t="s">
        <v>72</v>
      </c>
      <c r="BB1" s="1" t="s">
        <v>73</v>
      </c>
      <c r="BC1" s="1" t="s">
        <v>74</v>
      </c>
      <c r="BD1" s="1" t="s">
        <v>75</v>
      </c>
      <c r="BE1" s="1" t="s">
        <v>76</v>
      </c>
      <c r="BF1" s="1" t="s">
        <v>77</v>
      </c>
      <c r="BG1" s="1" t="s">
        <v>78</v>
      </c>
      <c r="BH1" s="1" t="s">
        <v>79</v>
      </c>
      <c r="BI1" s="1" t="s">
        <v>80</v>
      </c>
      <c r="BJ1" s="1" t="s">
        <v>81</v>
      </c>
      <c r="BK1" s="1" t="s">
        <v>82</v>
      </c>
      <c r="BL1" s="1" t="s">
        <v>83</v>
      </c>
      <c r="BM1" s="1" t="s">
        <v>84</v>
      </c>
      <c r="BN1" s="1" t="s">
        <v>85</v>
      </c>
      <c r="BO1" s="1" t="s">
        <v>86</v>
      </c>
      <c r="BP1" s="1" t="s">
        <v>87</v>
      </c>
      <c r="BQ1" s="1" t="s">
        <v>88</v>
      </c>
      <c r="BR1" s="1" t="s">
        <v>89</v>
      </c>
      <c r="BS1" s="1" t="s">
        <v>90</v>
      </c>
      <c r="BT1" s="1" t="s">
        <v>91</v>
      </c>
      <c r="BU1" s="1" t="s">
        <v>92</v>
      </c>
      <c r="BV1" s="1" t="s">
        <v>93</v>
      </c>
      <c r="BW1" s="1" t="s">
        <v>94</v>
      </c>
      <c r="BX1" s="1" t="s">
        <v>95</v>
      </c>
      <c r="BY1" s="1" t="s">
        <v>96</v>
      </c>
      <c r="BZ1" s="1" t="s">
        <v>97</v>
      </c>
      <c r="CA1" s="1" t="s">
        <v>98</v>
      </c>
      <c r="CB1" s="1" t="s">
        <v>99</v>
      </c>
      <c r="CC1" s="1" t="s">
        <v>100</v>
      </c>
      <c r="CD1" s="1" t="s">
        <v>101</v>
      </c>
      <c r="CE1" s="1" t="s">
        <v>102</v>
      </c>
      <c r="CF1" s="1" t="s">
        <v>103</v>
      </c>
      <c r="CG1" s="1" t="s">
        <v>104</v>
      </c>
      <c r="CH1" s="1" t="s">
        <v>105</v>
      </c>
      <c r="CI1" s="1" t="s">
        <v>106</v>
      </c>
      <c r="CJ1" s="1" t="s">
        <v>107</v>
      </c>
      <c r="CK1" s="1" t="s">
        <v>108</v>
      </c>
      <c r="CL1" s="1" t="s">
        <v>109</v>
      </c>
      <c r="CM1" s="1" t="s">
        <v>110</v>
      </c>
      <c r="CN1" s="1" t="s">
        <v>111</v>
      </c>
    </row>
    <row r="2" spans="1:92">
      <c r="A2" t="s">
        <v>171</v>
      </c>
      <c r="B2" s="6">
        <v>45950.5</v>
      </c>
      <c r="C2" s="7">
        <v>0</v>
      </c>
      <c r="D2" s="7">
        <v>19</v>
      </c>
      <c r="E2" s="7">
        <v>1097.9000000000001</v>
      </c>
      <c r="F2" s="7"/>
      <c r="H2" s="7">
        <v>124.65</v>
      </c>
      <c r="I2" s="7">
        <f>IF(OR(CE2="",CF2=""),"",CE2-CF2)</f>
        <v>113.21000000000001</v>
      </c>
      <c r="J2" s="7">
        <v>21</v>
      </c>
      <c r="K2" s="7">
        <v>244</v>
      </c>
      <c r="L2" s="7">
        <v>221</v>
      </c>
      <c r="M2" s="7">
        <v>0.43</v>
      </c>
      <c r="N2" s="7">
        <v>9</v>
      </c>
      <c r="Q2" s="7">
        <v>0</v>
      </c>
      <c r="AA2" t="s">
        <v>172</v>
      </c>
      <c r="AB2" s="6">
        <v>45950.5</v>
      </c>
      <c r="AC2" t="s">
        <v>114</v>
      </c>
      <c r="AD2" t="s">
        <v>115</v>
      </c>
      <c r="AE2" t="s">
        <v>116</v>
      </c>
      <c r="AF2">
        <v>19</v>
      </c>
      <c r="AG2" t="s">
        <v>173</v>
      </c>
      <c r="AH2">
        <v>1</v>
      </c>
      <c r="AJ2" t="s">
        <v>118</v>
      </c>
      <c r="AK2" s="7">
        <v>23.9</v>
      </c>
      <c r="AN2">
        <v>15</v>
      </c>
      <c r="AP2">
        <v>237.86</v>
      </c>
      <c r="AT2" t="s">
        <v>119</v>
      </c>
      <c r="AU2" t="s">
        <v>120</v>
      </c>
      <c r="AV2" t="s">
        <v>121</v>
      </c>
      <c r="AY2" t="s">
        <v>122</v>
      </c>
      <c r="AZ2" t="s">
        <v>123</v>
      </c>
      <c r="BO2" t="s">
        <v>124</v>
      </c>
      <c r="BP2" t="s">
        <v>125</v>
      </c>
      <c r="BQ2" t="s">
        <v>172</v>
      </c>
      <c r="BR2" t="s">
        <v>172</v>
      </c>
      <c r="BS2" t="s">
        <v>174</v>
      </c>
      <c r="BX2" t="s">
        <v>127</v>
      </c>
      <c r="BY2" t="s">
        <v>128</v>
      </c>
      <c r="BZ2" t="s">
        <v>171</v>
      </c>
      <c r="CA2" t="s">
        <v>172</v>
      </c>
      <c r="CB2" s="7">
        <v>20.2</v>
      </c>
      <c r="CC2">
        <v>19</v>
      </c>
      <c r="CD2" s="7">
        <v>1</v>
      </c>
      <c r="CE2" s="7">
        <v>237.86</v>
      </c>
      <c r="CF2" s="7">
        <v>124.65</v>
      </c>
      <c r="CG2" s="7">
        <f>IF(OR(CE2="",CF2=""),"",CE2-CF2)</f>
        <v>113.21000000000001</v>
      </c>
      <c r="CH2" s="7">
        <v>15</v>
      </c>
      <c r="CI2" s="7"/>
      <c r="CJ2" s="7"/>
      <c r="CK2" s="6">
        <v>45950.5</v>
      </c>
      <c r="CL2" t="s">
        <v>5</v>
      </c>
      <c r="CN2" t="s">
        <v>129</v>
      </c>
    </row>
    <row r="3" spans="1:92">
      <c r="A3" t="s">
        <v>175</v>
      </c>
      <c r="B3" s="6">
        <v>45950.625</v>
      </c>
      <c r="C3" s="7">
        <v>3</v>
      </c>
      <c r="D3" s="7">
        <v>19</v>
      </c>
      <c r="E3" s="7">
        <v>1097.8</v>
      </c>
      <c r="F3" s="7">
        <v>59.54</v>
      </c>
      <c r="H3" s="7">
        <v>125.78</v>
      </c>
      <c r="I3" s="7">
        <f t="shared" ref="I3:I11" si="0">IF(OR(CE3="",CF3=""),"",CE3-CF3)</f>
        <v>111.53</v>
      </c>
      <c r="J3" s="7">
        <v>83</v>
      </c>
      <c r="K3" s="7">
        <v>229</v>
      </c>
      <c r="L3" s="7">
        <v>271</v>
      </c>
      <c r="M3" s="7">
        <v>0.59</v>
      </c>
      <c r="N3" s="7">
        <v>25</v>
      </c>
      <c r="Q3" s="7"/>
      <c r="AA3" t="s">
        <v>172</v>
      </c>
      <c r="AB3" s="6">
        <v>45950.625</v>
      </c>
      <c r="AC3" t="s">
        <v>114</v>
      </c>
      <c r="AD3" t="s">
        <v>115</v>
      </c>
      <c r="AE3" t="s">
        <v>116</v>
      </c>
      <c r="AF3">
        <v>19</v>
      </c>
      <c r="AG3" t="s">
        <v>173</v>
      </c>
      <c r="AH3">
        <v>1</v>
      </c>
      <c r="AJ3" t="s">
        <v>118</v>
      </c>
      <c r="AK3" s="7">
        <v>23.8</v>
      </c>
      <c r="AN3">
        <v>31.414999999999999</v>
      </c>
      <c r="AO3">
        <v>17.11</v>
      </c>
      <c r="AP3">
        <v>237.31</v>
      </c>
      <c r="AT3" t="s">
        <v>119</v>
      </c>
      <c r="AU3" t="s">
        <v>131</v>
      </c>
      <c r="AV3" t="s">
        <v>121</v>
      </c>
      <c r="AY3" t="s">
        <v>122</v>
      </c>
      <c r="AZ3" t="s">
        <v>123</v>
      </c>
      <c r="BO3" t="s">
        <v>124</v>
      </c>
      <c r="BP3" t="s">
        <v>125</v>
      </c>
      <c r="BQ3" t="s">
        <v>172</v>
      </c>
      <c r="BR3" t="s">
        <v>172</v>
      </c>
      <c r="BS3" t="s">
        <v>174</v>
      </c>
      <c r="BX3" t="s">
        <v>127</v>
      </c>
      <c r="BY3" t="s">
        <v>128</v>
      </c>
      <c r="BZ3" t="s">
        <v>175</v>
      </c>
      <c r="CA3" t="s">
        <v>172</v>
      </c>
      <c r="CB3" s="7">
        <v>20.2</v>
      </c>
      <c r="CC3">
        <v>19</v>
      </c>
      <c r="CD3" s="7">
        <v>1</v>
      </c>
      <c r="CE3" s="7">
        <v>237.31</v>
      </c>
      <c r="CF3" s="7">
        <v>125.78</v>
      </c>
      <c r="CG3" s="7">
        <f t="shared" ref="CG3:CG11" si="1">IF(OR(CE3="",CF3=""),"",CE3-CF3)</f>
        <v>111.53</v>
      </c>
      <c r="CH3" s="7">
        <v>31.414999999999999</v>
      </c>
      <c r="CI3" s="7">
        <v>18.7</v>
      </c>
      <c r="CJ3" s="7">
        <v>17.11</v>
      </c>
      <c r="CK3" s="6">
        <v>45950.625</v>
      </c>
      <c r="CL3" t="s">
        <v>5</v>
      </c>
      <c r="CN3" t="s">
        <v>129</v>
      </c>
    </row>
    <row r="4" spans="1:92">
      <c r="A4" t="s">
        <v>176</v>
      </c>
      <c r="B4" s="6">
        <v>45951.375</v>
      </c>
      <c r="C4" s="7">
        <v>21</v>
      </c>
      <c r="D4" s="7">
        <v>19</v>
      </c>
      <c r="E4" s="7">
        <v>1095</v>
      </c>
      <c r="F4" s="7">
        <v>50.81</v>
      </c>
      <c r="H4" s="7">
        <v>114.16</v>
      </c>
      <c r="I4" s="7">
        <f t="shared" si="0"/>
        <v>114.71000000000001</v>
      </c>
      <c r="J4" s="7">
        <v>57</v>
      </c>
      <c r="K4" s="7">
        <v>231</v>
      </c>
      <c r="L4" s="7">
        <v>246</v>
      </c>
      <c r="M4" s="7">
        <v>1.19</v>
      </c>
      <c r="N4" s="7">
        <v>29</v>
      </c>
      <c r="Q4" s="7"/>
      <c r="AA4" t="s">
        <v>172</v>
      </c>
      <c r="AB4" s="6">
        <v>45951.375</v>
      </c>
      <c r="AC4" t="s">
        <v>114</v>
      </c>
      <c r="AD4" t="s">
        <v>115</v>
      </c>
      <c r="AE4" t="s">
        <v>116</v>
      </c>
      <c r="AF4">
        <v>19</v>
      </c>
      <c r="AG4" t="s">
        <v>173</v>
      </c>
      <c r="AH4">
        <v>1</v>
      </c>
      <c r="AJ4" t="s">
        <v>118</v>
      </c>
      <c r="AK4" s="7">
        <v>23.1</v>
      </c>
      <c r="AN4">
        <v>33.1</v>
      </c>
      <c r="AO4">
        <v>22.74</v>
      </c>
      <c r="AP4">
        <v>228.87</v>
      </c>
      <c r="AT4" t="s">
        <v>119</v>
      </c>
      <c r="AU4" t="s">
        <v>133</v>
      </c>
      <c r="AV4" t="s">
        <v>121</v>
      </c>
      <c r="AY4" t="s">
        <v>122</v>
      </c>
      <c r="AZ4" t="s">
        <v>123</v>
      </c>
      <c r="BO4" t="s">
        <v>124</v>
      </c>
      <c r="BP4" t="s">
        <v>125</v>
      </c>
      <c r="BQ4" t="s">
        <v>172</v>
      </c>
      <c r="BR4" t="s">
        <v>172</v>
      </c>
      <c r="BS4" t="s">
        <v>174</v>
      </c>
      <c r="BX4" t="s">
        <v>127</v>
      </c>
      <c r="BY4" t="s">
        <v>128</v>
      </c>
      <c r="BZ4" t="s">
        <v>176</v>
      </c>
      <c r="CA4" t="s">
        <v>172</v>
      </c>
      <c r="CB4" s="7">
        <v>19.100000000000001</v>
      </c>
      <c r="CC4">
        <v>19</v>
      </c>
      <c r="CD4" s="7">
        <v>1</v>
      </c>
      <c r="CE4" s="7">
        <v>228.87</v>
      </c>
      <c r="CF4" s="7">
        <v>114.16</v>
      </c>
      <c r="CG4" s="7">
        <f t="shared" si="1"/>
        <v>114.71000000000001</v>
      </c>
      <c r="CH4" s="7">
        <v>33.1</v>
      </c>
      <c r="CI4" s="7">
        <v>16.82</v>
      </c>
      <c r="CJ4" s="7">
        <v>22.74</v>
      </c>
      <c r="CK4" s="6">
        <v>45951.375</v>
      </c>
      <c r="CL4" t="s">
        <v>5</v>
      </c>
      <c r="CN4" t="s">
        <v>129</v>
      </c>
    </row>
    <row r="5" spans="1:92">
      <c r="A5" t="s">
        <v>300</v>
      </c>
      <c r="B5" s="6">
        <f>B2+1</f>
        <v>45951.5</v>
      </c>
      <c r="C5" s="7">
        <v>24</v>
      </c>
      <c r="D5" s="7"/>
      <c r="E5" s="7"/>
      <c r="F5" s="7"/>
      <c r="H5" s="7"/>
      <c r="I5" s="7"/>
      <c r="J5" s="7"/>
      <c r="K5" s="7"/>
      <c r="L5" s="7"/>
      <c r="M5" s="7"/>
      <c r="N5" s="7"/>
      <c r="Q5" s="7"/>
      <c r="R5">
        <v>100</v>
      </c>
      <c r="AB5" s="6"/>
      <c r="AK5" s="7"/>
      <c r="CB5" s="7"/>
      <c r="CD5" s="7"/>
      <c r="CE5" s="7"/>
      <c r="CF5" s="7"/>
      <c r="CG5" s="7"/>
      <c r="CH5" s="7"/>
      <c r="CI5" s="7"/>
      <c r="CJ5" s="7"/>
      <c r="CK5" s="6"/>
    </row>
    <row r="6" spans="1:92">
      <c r="A6" t="s">
        <v>177</v>
      </c>
      <c r="B6" s="6">
        <v>45952.416666666701</v>
      </c>
      <c r="C6" s="7">
        <v>46</v>
      </c>
      <c r="D6" s="7">
        <v>19</v>
      </c>
      <c r="E6" s="7">
        <v>1076.9000000000001</v>
      </c>
      <c r="F6" s="7">
        <v>64.06</v>
      </c>
      <c r="H6" s="7">
        <v>85.65</v>
      </c>
      <c r="I6" s="7">
        <f t="shared" si="0"/>
        <v>97.47</v>
      </c>
      <c r="J6" s="7">
        <v>44</v>
      </c>
      <c r="K6" s="7">
        <v>196</v>
      </c>
      <c r="L6" s="7">
        <v>204</v>
      </c>
      <c r="M6" s="7">
        <v>3.56</v>
      </c>
      <c r="N6" s="7">
        <v>80</v>
      </c>
      <c r="Q6" s="7"/>
      <c r="AA6" t="s">
        <v>172</v>
      </c>
      <c r="AB6" s="6">
        <v>45952.416666666701</v>
      </c>
      <c r="AC6" t="s">
        <v>114</v>
      </c>
      <c r="AD6" t="s">
        <v>115</v>
      </c>
      <c r="AE6" t="s">
        <v>116</v>
      </c>
      <c r="AF6">
        <v>19</v>
      </c>
      <c r="AG6" t="s">
        <v>173</v>
      </c>
      <c r="AH6">
        <v>1</v>
      </c>
      <c r="AJ6" t="s">
        <v>118</v>
      </c>
      <c r="AK6" s="7">
        <v>19</v>
      </c>
      <c r="AN6">
        <v>64.75</v>
      </c>
      <c r="AO6">
        <v>23.37</v>
      </c>
      <c r="AP6">
        <v>183.12</v>
      </c>
      <c r="AT6" t="s">
        <v>119</v>
      </c>
      <c r="AU6" t="s">
        <v>135</v>
      </c>
      <c r="AV6" t="s">
        <v>121</v>
      </c>
      <c r="AY6" t="s">
        <v>122</v>
      </c>
      <c r="AZ6" t="s">
        <v>123</v>
      </c>
      <c r="BO6" t="s">
        <v>124</v>
      </c>
      <c r="BP6" t="s">
        <v>125</v>
      </c>
      <c r="BQ6" t="s">
        <v>172</v>
      </c>
      <c r="BR6" t="s">
        <v>172</v>
      </c>
      <c r="BS6" t="s">
        <v>174</v>
      </c>
      <c r="BX6" t="s">
        <v>127</v>
      </c>
      <c r="BY6" t="s">
        <v>128</v>
      </c>
      <c r="BZ6" t="s">
        <v>177</v>
      </c>
      <c r="CA6" t="s">
        <v>172</v>
      </c>
      <c r="CB6" s="7">
        <v>19.100000000000001</v>
      </c>
      <c r="CC6">
        <v>19</v>
      </c>
      <c r="CD6" s="7">
        <v>1</v>
      </c>
      <c r="CE6" s="7">
        <v>183.12</v>
      </c>
      <c r="CF6" s="7">
        <v>85.65</v>
      </c>
      <c r="CG6" s="7">
        <f t="shared" si="1"/>
        <v>97.47</v>
      </c>
      <c r="CH6" s="7">
        <v>64.75</v>
      </c>
      <c r="CI6" s="7">
        <v>41.47</v>
      </c>
      <c r="CJ6" s="7">
        <v>23.37</v>
      </c>
      <c r="CK6" s="6">
        <v>45952.416666666701</v>
      </c>
      <c r="CL6" t="s">
        <v>5</v>
      </c>
      <c r="CN6" t="s">
        <v>129</v>
      </c>
    </row>
    <row r="7" spans="1:92">
      <c r="A7" t="s">
        <v>178</v>
      </c>
      <c r="B7" s="6">
        <v>45953.4375</v>
      </c>
      <c r="C7" s="7">
        <v>70.5</v>
      </c>
      <c r="D7" s="7">
        <v>19</v>
      </c>
      <c r="E7" s="7">
        <v>1052.2</v>
      </c>
      <c r="F7" s="7">
        <v>67.14</v>
      </c>
      <c r="H7" s="7">
        <v>50.56</v>
      </c>
      <c r="I7" s="7">
        <f t="shared" si="0"/>
        <v>80.56</v>
      </c>
      <c r="J7" s="7">
        <v>39</v>
      </c>
      <c r="K7" s="7">
        <v>83</v>
      </c>
      <c r="L7" s="7">
        <v>107</v>
      </c>
      <c r="M7" s="7">
        <v>5.65</v>
      </c>
      <c r="N7" s="7">
        <v>67</v>
      </c>
      <c r="Q7" s="7"/>
      <c r="AA7" t="s">
        <v>172</v>
      </c>
      <c r="AB7" s="6">
        <v>45953.4375</v>
      </c>
      <c r="AC7" t="s">
        <v>114</v>
      </c>
      <c r="AD7" t="s">
        <v>115</v>
      </c>
      <c r="AE7" t="s">
        <v>116</v>
      </c>
      <c r="AF7">
        <v>19</v>
      </c>
      <c r="AG7" t="s">
        <v>173</v>
      </c>
      <c r="AH7">
        <v>1</v>
      </c>
      <c r="AJ7" t="s">
        <v>118</v>
      </c>
      <c r="AK7" s="7">
        <v>13.3</v>
      </c>
      <c r="AN7">
        <v>70.81</v>
      </c>
      <c r="AO7">
        <v>16.16</v>
      </c>
      <c r="AP7">
        <v>131.12</v>
      </c>
      <c r="AT7" t="s">
        <v>119</v>
      </c>
      <c r="AU7" t="s">
        <v>137</v>
      </c>
      <c r="AV7" t="s">
        <v>121</v>
      </c>
      <c r="AY7" t="s">
        <v>122</v>
      </c>
      <c r="AZ7" t="s">
        <v>123</v>
      </c>
      <c r="BO7" t="s">
        <v>124</v>
      </c>
      <c r="BP7" t="s">
        <v>125</v>
      </c>
      <c r="BQ7" t="s">
        <v>172</v>
      </c>
      <c r="BR7" t="s">
        <v>172</v>
      </c>
      <c r="BS7" t="s">
        <v>174</v>
      </c>
      <c r="BX7" t="s">
        <v>127</v>
      </c>
      <c r="BY7" t="s">
        <v>128</v>
      </c>
      <c r="BZ7" t="s">
        <v>178</v>
      </c>
      <c r="CA7" t="s">
        <v>172</v>
      </c>
      <c r="CB7" s="7">
        <v>19.3</v>
      </c>
      <c r="CC7">
        <v>19</v>
      </c>
      <c r="CD7" s="7">
        <v>1</v>
      </c>
      <c r="CE7" s="7">
        <v>131.12</v>
      </c>
      <c r="CF7" s="7">
        <v>50.56</v>
      </c>
      <c r="CG7" s="7">
        <f t="shared" si="1"/>
        <v>80.56</v>
      </c>
      <c r="CH7" s="7">
        <v>70.81</v>
      </c>
      <c r="CI7" s="7">
        <v>47.54</v>
      </c>
      <c r="CJ7" s="7">
        <v>16.16</v>
      </c>
      <c r="CK7" s="6">
        <v>45953.4375</v>
      </c>
      <c r="CL7" t="s">
        <v>5</v>
      </c>
      <c r="CN7" t="s">
        <v>129</v>
      </c>
    </row>
    <row r="8" spans="1:92">
      <c r="A8" t="s">
        <v>179</v>
      </c>
      <c r="B8" s="6">
        <v>45954.395833333299</v>
      </c>
      <c r="C8" s="7">
        <v>93.5</v>
      </c>
      <c r="D8" s="7">
        <v>19</v>
      </c>
      <c r="E8" s="7">
        <v>1033.9000000000001</v>
      </c>
      <c r="F8" s="7">
        <v>65.5</v>
      </c>
      <c r="H8" s="7">
        <v>29.71</v>
      </c>
      <c r="I8" s="7">
        <f t="shared" si="0"/>
        <v>64.039999999999992</v>
      </c>
      <c r="J8" s="7">
        <v>37</v>
      </c>
      <c r="K8" s="7">
        <v>35</v>
      </c>
      <c r="L8" s="7">
        <v>66</v>
      </c>
      <c r="M8" s="7">
        <v>6.54</v>
      </c>
      <c r="N8" s="7">
        <v>51</v>
      </c>
      <c r="Q8" s="7">
        <v>8.4</v>
      </c>
      <c r="AA8" t="s">
        <v>172</v>
      </c>
      <c r="AB8" s="6">
        <v>45954.395833333299</v>
      </c>
      <c r="AC8" t="s">
        <v>114</v>
      </c>
      <c r="AD8" t="s">
        <v>115</v>
      </c>
      <c r="AE8" t="s">
        <v>116</v>
      </c>
      <c r="AF8">
        <v>19</v>
      </c>
      <c r="AG8" t="s">
        <v>173</v>
      </c>
      <c r="AH8">
        <v>1</v>
      </c>
      <c r="AJ8" t="s">
        <v>118</v>
      </c>
      <c r="AK8" s="7">
        <v>9</v>
      </c>
      <c r="AN8">
        <v>76.569999999999993</v>
      </c>
      <c r="AO8">
        <v>13.94</v>
      </c>
      <c r="AP8">
        <v>93.75</v>
      </c>
      <c r="AT8" t="s">
        <v>119</v>
      </c>
      <c r="AU8" t="s">
        <v>139</v>
      </c>
      <c r="AV8" t="s">
        <v>121</v>
      </c>
      <c r="AY8" t="s">
        <v>122</v>
      </c>
      <c r="AZ8" t="s">
        <v>123</v>
      </c>
      <c r="BO8" t="s">
        <v>124</v>
      </c>
      <c r="BP8" t="s">
        <v>125</v>
      </c>
      <c r="BQ8" t="s">
        <v>172</v>
      </c>
      <c r="BR8" t="s">
        <v>172</v>
      </c>
      <c r="BS8" t="s">
        <v>174</v>
      </c>
      <c r="BX8" t="s">
        <v>127</v>
      </c>
      <c r="BY8" t="s">
        <v>128</v>
      </c>
      <c r="BZ8" t="s">
        <v>179</v>
      </c>
      <c r="CA8" t="s">
        <v>172</v>
      </c>
      <c r="CB8" s="7">
        <v>20</v>
      </c>
      <c r="CC8">
        <v>19</v>
      </c>
      <c r="CD8" s="7">
        <v>1</v>
      </c>
      <c r="CE8" s="7">
        <v>93.75</v>
      </c>
      <c r="CF8" s="7">
        <v>29.71</v>
      </c>
      <c r="CG8" s="7">
        <f t="shared" si="1"/>
        <v>64.039999999999992</v>
      </c>
      <c r="CH8" s="7">
        <v>76.569999999999993</v>
      </c>
      <c r="CI8" s="7">
        <v>50.15</v>
      </c>
      <c r="CJ8" s="7">
        <v>13.94</v>
      </c>
      <c r="CK8" s="6">
        <v>45954.395833333299</v>
      </c>
      <c r="CL8" t="s">
        <v>5</v>
      </c>
      <c r="CN8" t="s">
        <v>129</v>
      </c>
    </row>
    <row r="9" spans="1:92">
      <c r="A9" t="s">
        <v>180</v>
      </c>
      <c r="B9" s="6">
        <v>45957.416666666701</v>
      </c>
      <c r="C9" s="7">
        <v>166</v>
      </c>
      <c r="D9" s="7">
        <v>19</v>
      </c>
      <c r="E9" s="7">
        <v>1002.1</v>
      </c>
      <c r="F9" s="7">
        <v>72.95</v>
      </c>
      <c r="H9" s="7">
        <v>2.78</v>
      </c>
      <c r="I9" s="7">
        <f t="shared" si="0"/>
        <v>22.77</v>
      </c>
      <c r="J9" s="7">
        <v>34</v>
      </c>
      <c r="K9" s="7">
        <v>4</v>
      </c>
      <c r="L9" s="7">
        <v>37</v>
      </c>
      <c r="M9" s="7">
        <v>7.93</v>
      </c>
      <c r="N9" s="7">
        <v>17</v>
      </c>
      <c r="Q9" s="7">
        <v>12.6</v>
      </c>
      <c r="AA9" t="s">
        <v>172</v>
      </c>
      <c r="AB9" s="6">
        <v>45957.416666666701</v>
      </c>
      <c r="AC9" t="s">
        <v>114</v>
      </c>
      <c r="AD9" t="s">
        <v>115</v>
      </c>
      <c r="AE9" t="s">
        <v>116</v>
      </c>
      <c r="AF9">
        <v>19</v>
      </c>
      <c r="AG9" t="s">
        <v>173</v>
      </c>
      <c r="AH9">
        <v>1</v>
      </c>
      <c r="AJ9" t="s">
        <v>118</v>
      </c>
      <c r="AK9" s="7">
        <v>1.1000000000000001</v>
      </c>
      <c r="AN9">
        <v>99.39</v>
      </c>
      <c r="AO9">
        <v>10.51</v>
      </c>
      <c r="AP9">
        <v>25.55</v>
      </c>
      <c r="AT9" t="s">
        <v>119</v>
      </c>
      <c r="AU9" t="s">
        <v>141</v>
      </c>
      <c r="AV9" t="s">
        <v>121</v>
      </c>
      <c r="AY9" t="s">
        <v>122</v>
      </c>
      <c r="AZ9" t="s">
        <v>123</v>
      </c>
      <c r="BO9" t="s">
        <v>124</v>
      </c>
      <c r="BP9" t="s">
        <v>125</v>
      </c>
      <c r="BQ9" t="s">
        <v>172</v>
      </c>
      <c r="BR9" t="s">
        <v>172</v>
      </c>
      <c r="BS9" t="s">
        <v>174</v>
      </c>
      <c r="BX9" t="s">
        <v>127</v>
      </c>
      <c r="BY9" t="s">
        <v>128</v>
      </c>
      <c r="BZ9" t="s">
        <v>180</v>
      </c>
      <c r="CA9" t="s">
        <v>172</v>
      </c>
      <c r="CB9" s="7">
        <v>20.6</v>
      </c>
      <c r="CC9">
        <v>19</v>
      </c>
      <c r="CD9" s="7">
        <v>1</v>
      </c>
      <c r="CE9" s="7">
        <v>25.55</v>
      </c>
      <c r="CF9" s="7">
        <v>2.78</v>
      </c>
      <c r="CG9" s="7">
        <f t="shared" si="1"/>
        <v>22.77</v>
      </c>
      <c r="CH9" s="7">
        <v>99.39</v>
      </c>
      <c r="CI9" s="7">
        <v>72.5</v>
      </c>
      <c r="CJ9" s="7">
        <v>10.51</v>
      </c>
      <c r="CK9" s="6">
        <v>45957.416666666701</v>
      </c>
      <c r="CL9" t="s">
        <v>5</v>
      </c>
      <c r="CN9" t="s">
        <v>129</v>
      </c>
    </row>
    <row r="10" spans="1:92">
      <c r="A10" t="s">
        <v>181</v>
      </c>
      <c r="B10" s="6">
        <v>45958.458333333299</v>
      </c>
      <c r="C10" s="7">
        <v>191</v>
      </c>
      <c r="D10" s="7">
        <v>19</v>
      </c>
      <c r="E10" s="7">
        <v>996.3</v>
      </c>
      <c r="F10" s="7">
        <v>64.23</v>
      </c>
      <c r="H10" s="7">
        <v>1.1000000000000001</v>
      </c>
      <c r="I10" s="7">
        <f t="shared" si="0"/>
        <v>11.360000000000001</v>
      </c>
      <c r="J10" s="7">
        <v>34</v>
      </c>
      <c r="K10" s="7">
        <v>2</v>
      </c>
      <c r="L10" s="7">
        <v>36</v>
      </c>
      <c r="M10" s="7">
        <v>7.46</v>
      </c>
      <c r="N10" s="7">
        <v>22</v>
      </c>
      <c r="Q10" s="7"/>
      <c r="AA10" t="s">
        <v>172</v>
      </c>
      <c r="AB10" s="6">
        <v>45958.458333333299</v>
      </c>
      <c r="AC10" t="s">
        <v>114</v>
      </c>
      <c r="AD10" t="s">
        <v>115</v>
      </c>
      <c r="AE10" t="s">
        <v>116</v>
      </c>
      <c r="AF10">
        <v>19</v>
      </c>
      <c r="AG10" t="s">
        <v>173</v>
      </c>
      <c r="AH10">
        <v>1</v>
      </c>
      <c r="AJ10" t="s">
        <v>118</v>
      </c>
      <c r="AK10" s="7">
        <v>-0.5</v>
      </c>
      <c r="AN10">
        <v>80.95</v>
      </c>
      <c r="AO10">
        <v>10.25</v>
      </c>
      <c r="AP10">
        <v>12.46</v>
      </c>
      <c r="AT10" t="s">
        <v>119</v>
      </c>
      <c r="AU10" t="s">
        <v>143</v>
      </c>
      <c r="AV10" t="s">
        <v>121</v>
      </c>
      <c r="AY10" t="s">
        <v>122</v>
      </c>
      <c r="AZ10" t="s">
        <v>123</v>
      </c>
      <c r="BO10" t="s">
        <v>124</v>
      </c>
      <c r="BP10" t="s">
        <v>125</v>
      </c>
      <c r="BQ10" t="s">
        <v>172</v>
      </c>
      <c r="BR10" t="s">
        <v>172</v>
      </c>
      <c r="BS10" t="s">
        <v>174</v>
      </c>
      <c r="BX10" t="s">
        <v>127</v>
      </c>
      <c r="BY10" t="s">
        <v>128</v>
      </c>
      <c r="BZ10" t="s">
        <v>181</v>
      </c>
      <c r="CA10" t="s">
        <v>172</v>
      </c>
      <c r="CB10" s="7">
        <v>19.5</v>
      </c>
      <c r="CC10">
        <v>19</v>
      </c>
      <c r="CD10" s="7">
        <v>1</v>
      </c>
      <c r="CE10" s="7">
        <v>12.46</v>
      </c>
      <c r="CF10" s="7">
        <v>1.1000000000000001</v>
      </c>
      <c r="CG10" s="7">
        <f t="shared" si="1"/>
        <v>11.360000000000001</v>
      </c>
      <c r="CH10" s="7">
        <v>80.95</v>
      </c>
      <c r="CI10" s="7">
        <v>52</v>
      </c>
      <c r="CJ10" s="7">
        <v>10.25</v>
      </c>
      <c r="CK10" s="6">
        <v>45958.458333333299</v>
      </c>
      <c r="CL10" t="s">
        <v>5</v>
      </c>
      <c r="CN10" t="s">
        <v>129</v>
      </c>
    </row>
    <row r="11" spans="1:92">
      <c r="A11" t="s">
        <v>182</v>
      </c>
      <c r="B11" s="6">
        <v>45959.395833333299</v>
      </c>
      <c r="C11" s="7">
        <v>213.5</v>
      </c>
      <c r="D11" s="7">
        <v>19</v>
      </c>
      <c r="E11" s="7">
        <v>992</v>
      </c>
      <c r="F11" s="7">
        <v>71.540000000000006</v>
      </c>
      <c r="H11" s="7">
        <v>0.96</v>
      </c>
      <c r="I11" s="7">
        <f t="shared" si="0"/>
        <v>3.92</v>
      </c>
      <c r="J11" s="7"/>
      <c r="K11" s="7"/>
      <c r="L11" s="7"/>
      <c r="M11" s="7">
        <v>7.99</v>
      </c>
      <c r="N11" s="7">
        <v>1E-4</v>
      </c>
      <c r="Q11" s="7">
        <v>14.04</v>
      </c>
      <c r="AA11" t="s">
        <v>172</v>
      </c>
      <c r="AB11" s="6">
        <v>45959.395833333299</v>
      </c>
      <c r="AC11" t="s">
        <v>114</v>
      </c>
      <c r="AD11" t="s">
        <v>115</v>
      </c>
      <c r="AE11" t="s">
        <v>116</v>
      </c>
      <c r="AF11">
        <v>19</v>
      </c>
      <c r="AG11" t="s">
        <v>173</v>
      </c>
      <c r="AH11">
        <v>1</v>
      </c>
      <c r="AJ11" t="s">
        <v>118</v>
      </c>
      <c r="AK11" s="7">
        <v>-1.6</v>
      </c>
      <c r="AN11">
        <v>112.52</v>
      </c>
      <c r="AO11">
        <v>15.02</v>
      </c>
      <c r="AP11">
        <v>4.88</v>
      </c>
      <c r="AT11" t="s">
        <v>119</v>
      </c>
      <c r="AU11" t="s">
        <v>145</v>
      </c>
      <c r="AV11" t="s">
        <v>121</v>
      </c>
      <c r="AY11" t="s">
        <v>122</v>
      </c>
      <c r="AZ11" t="s">
        <v>123</v>
      </c>
      <c r="BO11" t="s">
        <v>124</v>
      </c>
      <c r="BP11" t="s">
        <v>125</v>
      </c>
      <c r="BQ11" t="s">
        <v>172</v>
      </c>
      <c r="BR11" t="s">
        <v>172</v>
      </c>
      <c r="BS11" t="s">
        <v>174</v>
      </c>
      <c r="BX11" t="s">
        <v>127</v>
      </c>
      <c r="BY11" t="s">
        <v>128</v>
      </c>
      <c r="BZ11" t="s">
        <v>182</v>
      </c>
      <c r="CA11" t="s">
        <v>172</v>
      </c>
      <c r="CB11" s="7">
        <v>20.399999999999999</v>
      </c>
      <c r="CC11">
        <v>19</v>
      </c>
      <c r="CD11" s="7">
        <v>1</v>
      </c>
      <c r="CE11" s="7">
        <v>4.88</v>
      </c>
      <c r="CF11" s="7">
        <v>0.96</v>
      </c>
      <c r="CG11" s="7">
        <f t="shared" si="1"/>
        <v>3.92</v>
      </c>
      <c r="CH11" s="7">
        <v>112.52</v>
      </c>
      <c r="CI11" s="7">
        <v>80.489999999999995</v>
      </c>
      <c r="CJ11" s="7">
        <v>15.02</v>
      </c>
      <c r="CK11" s="6">
        <v>45959.395833333299</v>
      </c>
      <c r="CL11" t="s">
        <v>5</v>
      </c>
      <c r="CN11" t="s">
        <v>129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11"/>
  <sheetViews>
    <sheetView workbookViewId="0">
      <selection activeCell="A8" sqref="A8:XFD8"/>
    </sheetView>
  </sheetViews>
  <sheetFormatPr baseColWidth="10" defaultColWidth="9" defaultRowHeight="14.25"/>
  <cols>
    <col min="1" max="3" width="18" customWidth="1"/>
    <col min="4" max="92" width="13" customWidth="1"/>
  </cols>
  <sheetData>
    <row r="1" spans="1:92" ht="60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67</v>
      </c>
      <c r="AW1" s="1" t="s">
        <v>68</v>
      </c>
      <c r="AX1" s="1" t="s">
        <v>69</v>
      </c>
      <c r="AY1" s="1" t="s">
        <v>70</v>
      </c>
      <c r="AZ1" s="1" t="s">
        <v>71</v>
      </c>
      <c r="BA1" s="1" t="s">
        <v>72</v>
      </c>
      <c r="BB1" s="1" t="s">
        <v>73</v>
      </c>
      <c r="BC1" s="1" t="s">
        <v>74</v>
      </c>
      <c r="BD1" s="1" t="s">
        <v>75</v>
      </c>
      <c r="BE1" s="1" t="s">
        <v>76</v>
      </c>
      <c r="BF1" s="1" t="s">
        <v>77</v>
      </c>
      <c r="BG1" s="1" t="s">
        <v>78</v>
      </c>
      <c r="BH1" s="1" t="s">
        <v>79</v>
      </c>
      <c r="BI1" s="1" t="s">
        <v>80</v>
      </c>
      <c r="BJ1" s="1" t="s">
        <v>81</v>
      </c>
      <c r="BK1" s="1" t="s">
        <v>82</v>
      </c>
      <c r="BL1" s="1" t="s">
        <v>83</v>
      </c>
      <c r="BM1" s="1" t="s">
        <v>84</v>
      </c>
      <c r="BN1" s="1" t="s">
        <v>85</v>
      </c>
      <c r="BO1" s="1" t="s">
        <v>86</v>
      </c>
      <c r="BP1" s="1" t="s">
        <v>87</v>
      </c>
      <c r="BQ1" s="1" t="s">
        <v>88</v>
      </c>
      <c r="BR1" s="1" t="s">
        <v>89</v>
      </c>
      <c r="BS1" s="1" t="s">
        <v>90</v>
      </c>
      <c r="BT1" s="1" t="s">
        <v>91</v>
      </c>
      <c r="BU1" s="1" t="s">
        <v>92</v>
      </c>
      <c r="BV1" s="1" t="s">
        <v>93</v>
      </c>
      <c r="BW1" s="1" t="s">
        <v>94</v>
      </c>
      <c r="BX1" s="1" t="s">
        <v>95</v>
      </c>
      <c r="BY1" s="1" t="s">
        <v>96</v>
      </c>
      <c r="BZ1" s="1" t="s">
        <v>97</v>
      </c>
      <c r="CA1" s="1" t="s">
        <v>98</v>
      </c>
      <c r="CB1" s="1" t="s">
        <v>99</v>
      </c>
      <c r="CC1" s="1" t="s">
        <v>100</v>
      </c>
      <c r="CD1" s="1" t="s">
        <v>101</v>
      </c>
      <c r="CE1" s="1" t="s">
        <v>102</v>
      </c>
      <c r="CF1" s="1" t="s">
        <v>103</v>
      </c>
      <c r="CG1" s="1" t="s">
        <v>104</v>
      </c>
      <c r="CH1" s="1" t="s">
        <v>105</v>
      </c>
      <c r="CI1" s="1" t="s">
        <v>106</v>
      </c>
      <c r="CJ1" s="1" t="s">
        <v>107</v>
      </c>
      <c r="CK1" s="1" t="s">
        <v>108</v>
      </c>
      <c r="CL1" s="1" t="s">
        <v>109</v>
      </c>
      <c r="CM1" s="1" t="s">
        <v>110</v>
      </c>
      <c r="CN1" s="1" t="s">
        <v>111</v>
      </c>
    </row>
    <row r="2" spans="1:92">
      <c r="A2" t="s">
        <v>183</v>
      </c>
      <c r="B2" s="6">
        <v>45950.5</v>
      </c>
      <c r="C2" s="7">
        <v>0</v>
      </c>
      <c r="D2" s="7">
        <v>19</v>
      </c>
      <c r="E2" s="7">
        <v>1097.2</v>
      </c>
      <c r="F2" s="7"/>
      <c r="H2" s="7">
        <v>123.57</v>
      </c>
      <c r="I2" s="7">
        <f>IF(OR(CE2="",CF2=""),"",CE2-CF2)</f>
        <v>119.77000000000001</v>
      </c>
      <c r="J2" s="7">
        <v>19</v>
      </c>
      <c r="K2" s="7">
        <v>242</v>
      </c>
      <c r="L2" s="7">
        <v>218</v>
      </c>
      <c r="M2" s="7">
        <v>0.8</v>
      </c>
      <c r="N2" s="7">
        <v>7</v>
      </c>
      <c r="Q2" s="7">
        <v>0</v>
      </c>
      <c r="AA2" t="s">
        <v>184</v>
      </c>
      <c r="AB2" s="6">
        <v>45950.5</v>
      </c>
      <c r="AC2" t="s">
        <v>114</v>
      </c>
      <c r="AD2" t="s">
        <v>115</v>
      </c>
      <c r="AE2" t="s">
        <v>116</v>
      </c>
      <c r="AF2">
        <v>19</v>
      </c>
      <c r="AG2" t="s">
        <v>185</v>
      </c>
      <c r="AH2">
        <v>4</v>
      </c>
      <c r="AJ2" t="s">
        <v>118</v>
      </c>
      <c r="AK2" s="7">
        <v>23.7</v>
      </c>
      <c r="AN2">
        <v>20</v>
      </c>
      <c r="AP2">
        <v>243.34</v>
      </c>
      <c r="AT2" t="s">
        <v>119</v>
      </c>
      <c r="AU2" t="s">
        <v>120</v>
      </c>
      <c r="AV2" t="s">
        <v>121</v>
      </c>
      <c r="AY2" t="s">
        <v>122</v>
      </c>
      <c r="AZ2" t="s">
        <v>123</v>
      </c>
      <c r="BO2" t="s">
        <v>124</v>
      </c>
      <c r="BP2" t="s">
        <v>125</v>
      </c>
      <c r="BQ2" t="s">
        <v>184</v>
      </c>
      <c r="BR2" t="s">
        <v>184</v>
      </c>
      <c r="BS2" t="s">
        <v>186</v>
      </c>
      <c r="BX2" t="s">
        <v>127</v>
      </c>
      <c r="BY2" t="s">
        <v>128</v>
      </c>
      <c r="BZ2" t="s">
        <v>183</v>
      </c>
      <c r="CA2" t="s">
        <v>184</v>
      </c>
      <c r="CB2" s="7">
        <v>20.3</v>
      </c>
      <c r="CC2">
        <v>19</v>
      </c>
      <c r="CD2" s="7">
        <v>4</v>
      </c>
      <c r="CE2" s="7">
        <v>243.34</v>
      </c>
      <c r="CF2" s="7">
        <v>123.57</v>
      </c>
      <c r="CG2" s="7">
        <f>IF(OR(CE2="",CF2=""),"",CE2-CF2)</f>
        <v>119.77000000000001</v>
      </c>
      <c r="CH2" s="7">
        <v>20</v>
      </c>
      <c r="CI2" s="7"/>
      <c r="CJ2" s="7"/>
      <c r="CK2" s="6">
        <v>45950.5</v>
      </c>
      <c r="CL2" t="s">
        <v>5</v>
      </c>
      <c r="CN2" t="s">
        <v>129</v>
      </c>
    </row>
    <row r="3" spans="1:92">
      <c r="A3" t="s">
        <v>187</v>
      </c>
      <c r="B3" s="6">
        <v>45950.625</v>
      </c>
      <c r="C3" s="7">
        <v>3</v>
      </c>
      <c r="D3" s="7">
        <v>19</v>
      </c>
      <c r="E3" s="7">
        <v>1097.0999999999999</v>
      </c>
      <c r="F3" s="7">
        <v>51.94</v>
      </c>
      <c r="H3" s="7">
        <v>121</v>
      </c>
      <c r="I3" s="7">
        <f t="shared" ref="I3:I11" si="0">IF(OR(CE3="",CF3=""),"",CE3-CF3)</f>
        <v>119.13999999999999</v>
      </c>
      <c r="J3" s="7">
        <v>85</v>
      </c>
      <c r="K3" s="7">
        <v>237</v>
      </c>
      <c r="L3" s="7">
        <v>279</v>
      </c>
      <c r="M3" s="7">
        <v>0.56000000000000005</v>
      </c>
      <c r="N3" s="7">
        <v>13</v>
      </c>
      <c r="Q3" s="7"/>
      <c r="AA3" t="s">
        <v>184</v>
      </c>
      <c r="AB3" s="6">
        <v>45950.625</v>
      </c>
      <c r="AC3" t="s">
        <v>114</v>
      </c>
      <c r="AD3" t="s">
        <v>115</v>
      </c>
      <c r="AE3" t="s">
        <v>116</v>
      </c>
      <c r="AF3">
        <v>19</v>
      </c>
      <c r="AG3" t="s">
        <v>185</v>
      </c>
      <c r="AH3">
        <v>4</v>
      </c>
      <c r="AJ3" t="s">
        <v>118</v>
      </c>
      <c r="AK3" s="7">
        <v>23.6</v>
      </c>
      <c r="AN3">
        <v>23.734999999999999</v>
      </c>
      <c r="AO3">
        <v>13.27</v>
      </c>
      <c r="AP3">
        <v>240.14</v>
      </c>
      <c r="AT3" t="s">
        <v>119</v>
      </c>
      <c r="AU3" t="s">
        <v>131</v>
      </c>
      <c r="AV3" t="s">
        <v>121</v>
      </c>
      <c r="AY3" t="s">
        <v>122</v>
      </c>
      <c r="AZ3" t="s">
        <v>123</v>
      </c>
      <c r="BO3" t="s">
        <v>124</v>
      </c>
      <c r="BP3" t="s">
        <v>125</v>
      </c>
      <c r="BQ3" t="s">
        <v>184</v>
      </c>
      <c r="BR3" t="s">
        <v>184</v>
      </c>
      <c r="BS3" t="s">
        <v>186</v>
      </c>
      <c r="BX3" t="s">
        <v>127</v>
      </c>
      <c r="BY3" t="s">
        <v>128</v>
      </c>
      <c r="BZ3" t="s">
        <v>187</v>
      </c>
      <c r="CA3" t="s">
        <v>184</v>
      </c>
      <c r="CB3" s="7">
        <v>20.3</v>
      </c>
      <c r="CC3">
        <v>19</v>
      </c>
      <c r="CD3" s="7">
        <v>4</v>
      </c>
      <c r="CE3" s="7">
        <v>240.14</v>
      </c>
      <c r="CF3" s="7">
        <v>121</v>
      </c>
      <c r="CG3" s="7">
        <f t="shared" ref="CG3:CG11" si="1">IF(OR(CE3="",CF3=""),"",CE3-CF3)</f>
        <v>119.13999999999999</v>
      </c>
      <c r="CH3" s="7">
        <v>23.734999999999999</v>
      </c>
      <c r="CI3" s="7">
        <v>12.324999999999999</v>
      </c>
      <c r="CJ3" s="7">
        <v>13.27</v>
      </c>
      <c r="CK3" s="6">
        <v>45950.625</v>
      </c>
      <c r="CL3" t="s">
        <v>5</v>
      </c>
      <c r="CN3" t="s">
        <v>129</v>
      </c>
    </row>
    <row r="4" spans="1:92">
      <c r="A4" t="s">
        <v>188</v>
      </c>
      <c r="B4" s="6">
        <v>45951.375</v>
      </c>
      <c r="C4" s="7">
        <v>21</v>
      </c>
      <c r="D4" s="7">
        <v>19</v>
      </c>
      <c r="E4" s="7">
        <v>1094.3</v>
      </c>
      <c r="F4" s="7">
        <v>46.3</v>
      </c>
      <c r="H4" s="7">
        <v>114.85</v>
      </c>
      <c r="I4" s="7">
        <f t="shared" si="0"/>
        <v>113.03999999999999</v>
      </c>
      <c r="J4" s="7">
        <v>57</v>
      </c>
      <c r="K4" s="7">
        <v>235</v>
      </c>
      <c r="L4" s="7">
        <v>250</v>
      </c>
      <c r="M4" s="7">
        <v>1.29</v>
      </c>
      <c r="N4" s="7">
        <v>26</v>
      </c>
      <c r="Q4" s="7"/>
      <c r="AA4" t="s">
        <v>184</v>
      </c>
      <c r="AB4" s="6">
        <v>45951.375</v>
      </c>
      <c r="AC4" t="s">
        <v>114</v>
      </c>
      <c r="AD4" t="s">
        <v>115</v>
      </c>
      <c r="AE4" t="s">
        <v>116</v>
      </c>
      <c r="AF4">
        <v>19</v>
      </c>
      <c r="AG4" t="s">
        <v>185</v>
      </c>
      <c r="AH4">
        <v>4</v>
      </c>
      <c r="AJ4" t="s">
        <v>118</v>
      </c>
      <c r="AK4" s="7">
        <v>22.9</v>
      </c>
      <c r="AN4">
        <v>29.03</v>
      </c>
      <c r="AO4">
        <v>15.87</v>
      </c>
      <c r="AP4">
        <v>227.89</v>
      </c>
      <c r="AT4" t="s">
        <v>119</v>
      </c>
      <c r="AU4" t="s">
        <v>133</v>
      </c>
      <c r="AV4" t="s">
        <v>121</v>
      </c>
      <c r="AY4" t="s">
        <v>122</v>
      </c>
      <c r="AZ4" t="s">
        <v>123</v>
      </c>
      <c r="BO4" t="s">
        <v>124</v>
      </c>
      <c r="BP4" t="s">
        <v>125</v>
      </c>
      <c r="BQ4" t="s">
        <v>184</v>
      </c>
      <c r="BR4" t="s">
        <v>184</v>
      </c>
      <c r="BS4" t="s">
        <v>186</v>
      </c>
      <c r="BX4" t="s">
        <v>127</v>
      </c>
      <c r="BY4" t="s">
        <v>128</v>
      </c>
      <c r="BZ4" t="s">
        <v>188</v>
      </c>
      <c r="CA4" t="s">
        <v>184</v>
      </c>
      <c r="CB4" s="7">
        <v>19.100000000000001</v>
      </c>
      <c r="CC4">
        <v>19</v>
      </c>
      <c r="CD4" s="7">
        <v>4</v>
      </c>
      <c r="CE4" s="7">
        <v>227.89</v>
      </c>
      <c r="CF4" s="7">
        <v>114.85</v>
      </c>
      <c r="CG4" s="7">
        <f t="shared" si="1"/>
        <v>113.03999999999999</v>
      </c>
      <c r="CH4" s="7">
        <v>29.03</v>
      </c>
      <c r="CI4" s="7">
        <v>13.44</v>
      </c>
      <c r="CJ4" s="7">
        <v>15.87</v>
      </c>
      <c r="CK4" s="6">
        <v>45951.375</v>
      </c>
      <c r="CL4" t="s">
        <v>5</v>
      </c>
      <c r="CN4" t="s">
        <v>129</v>
      </c>
    </row>
    <row r="5" spans="1:92">
      <c r="A5" t="s">
        <v>189</v>
      </c>
      <c r="B5" s="6">
        <v>45952.416666666701</v>
      </c>
      <c r="C5" s="7">
        <v>46</v>
      </c>
      <c r="D5" s="7">
        <v>19</v>
      </c>
      <c r="E5" s="7">
        <v>1081.0999999999999</v>
      </c>
      <c r="F5" s="7">
        <v>65.569999999999993</v>
      </c>
      <c r="H5" s="7">
        <v>89.91</v>
      </c>
      <c r="I5" s="7">
        <f t="shared" si="0"/>
        <v>105.28999999999999</v>
      </c>
      <c r="J5" s="7">
        <v>23</v>
      </c>
      <c r="K5" s="7">
        <v>150</v>
      </c>
      <c r="L5" s="7">
        <v>146</v>
      </c>
      <c r="M5" s="7">
        <v>3.04</v>
      </c>
      <c r="N5" s="7">
        <v>82</v>
      </c>
      <c r="Q5" s="7"/>
      <c r="AA5" t="s">
        <v>184</v>
      </c>
      <c r="AB5" s="6">
        <v>45952.416666666701</v>
      </c>
      <c r="AC5" t="s">
        <v>114</v>
      </c>
      <c r="AD5" t="s">
        <v>115</v>
      </c>
      <c r="AE5" t="s">
        <v>116</v>
      </c>
      <c r="AF5">
        <v>19</v>
      </c>
      <c r="AG5" t="s">
        <v>185</v>
      </c>
      <c r="AH5">
        <v>4</v>
      </c>
      <c r="AJ5" t="s">
        <v>118</v>
      </c>
      <c r="AK5" s="7">
        <v>20</v>
      </c>
      <c r="AN5">
        <v>44.39</v>
      </c>
      <c r="AO5">
        <v>14.36</v>
      </c>
      <c r="AP5">
        <v>195.2</v>
      </c>
      <c r="AT5" t="s">
        <v>119</v>
      </c>
      <c r="AU5" t="s">
        <v>135</v>
      </c>
      <c r="AV5" t="s">
        <v>121</v>
      </c>
      <c r="AY5" t="s">
        <v>122</v>
      </c>
      <c r="AZ5" t="s">
        <v>123</v>
      </c>
      <c r="BO5" t="s">
        <v>124</v>
      </c>
      <c r="BP5" t="s">
        <v>125</v>
      </c>
      <c r="BQ5" t="s">
        <v>184</v>
      </c>
      <c r="BR5" t="s">
        <v>184</v>
      </c>
      <c r="BS5" t="s">
        <v>186</v>
      </c>
      <c r="BX5" t="s">
        <v>127</v>
      </c>
      <c r="BY5" t="s">
        <v>128</v>
      </c>
      <c r="BZ5" t="s">
        <v>189</v>
      </c>
      <c r="CA5" t="s">
        <v>184</v>
      </c>
      <c r="CB5" s="7">
        <v>19.2</v>
      </c>
      <c r="CC5">
        <v>19</v>
      </c>
      <c r="CD5" s="7">
        <v>4</v>
      </c>
      <c r="CE5" s="7">
        <v>195.2</v>
      </c>
      <c r="CF5" s="7">
        <v>89.91</v>
      </c>
      <c r="CG5" s="7">
        <f t="shared" si="1"/>
        <v>105.28999999999999</v>
      </c>
      <c r="CH5" s="7">
        <v>44.39</v>
      </c>
      <c r="CI5" s="7">
        <v>29.11</v>
      </c>
      <c r="CJ5" s="7">
        <v>14.36</v>
      </c>
      <c r="CK5" s="6">
        <v>45952.416666666701</v>
      </c>
      <c r="CL5" t="s">
        <v>5</v>
      </c>
      <c r="CN5" t="s">
        <v>129</v>
      </c>
    </row>
    <row r="6" spans="1:92">
      <c r="A6" t="s">
        <v>190</v>
      </c>
      <c r="B6" s="6">
        <v>45953.4375</v>
      </c>
      <c r="C6" s="7">
        <v>70.5</v>
      </c>
      <c r="D6" s="7">
        <v>19</v>
      </c>
      <c r="E6" s="7">
        <v>1061.3</v>
      </c>
      <c r="F6" s="7">
        <v>71.58</v>
      </c>
      <c r="H6" s="7">
        <v>63.99</v>
      </c>
      <c r="I6" s="7">
        <f t="shared" si="0"/>
        <v>90.63</v>
      </c>
      <c r="J6" s="7">
        <v>17</v>
      </c>
      <c r="K6" s="7">
        <v>37</v>
      </c>
      <c r="L6" s="7">
        <v>48</v>
      </c>
      <c r="M6" s="7">
        <v>5.09</v>
      </c>
      <c r="N6" s="7">
        <v>81</v>
      </c>
      <c r="Q6" s="7"/>
      <c r="AA6" t="s">
        <v>184</v>
      </c>
      <c r="AB6" s="6">
        <v>45953.4375</v>
      </c>
      <c r="AC6" t="s">
        <v>114</v>
      </c>
      <c r="AD6" t="s">
        <v>115</v>
      </c>
      <c r="AE6" t="s">
        <v>116</v>
      </c>
      <c r="AF6">
        <v>19</v>
      </c>
      <c r="AG6" t="s">
        <v>185</v>
      </c>
      <c r="AH6">
        <v>4</v>
      </c>
      <c r="AJ6" t="s">
        <v>118</v>
      </c>
      <c r="AK6" s="7">
        <v>15.5</v>
      </c>
      <c r="AN6">
        <v>63.52</v>
      </c>
      <c r="AO6">
        <v>13.42</v>
      </c>
      <c r="AP6">
        <v>154.62</v>
      </c>
      <c r="AT6" t="s">
        <v>119</v>
      </c>
      <c r="AU6" t="s">
        <v>137</v>
      </c>
      <c r="AV6" t="s">
        <v>121</v>
      </c>
      <c r="AY6" t="s">
        <v>122</v>
      </c>
      <c r="AZ6" t="s">
        <v>123</v>
      </c>
      <c r="BO6" t="s">
        <v>124</v>
      </c>
      <c r="BP6" t="s">
        <v>125</v>
      </c>
      <c r="BQ6" t="s">
        <v>184</v>
      </c>
      <c r="BR6" t="s">
        <v>184</v>
      </c>
      <c r="BS6" t="s">
        <v>186</v>
      </c>
      <c r="BX6" t="s">
        <v>127</v>
      </c>
      <c r="BY6" t="s">
        <v>128</v>
      </c>
      <c r="BZ6" t="s">
        <v>190</v>
      </c>
      <c r="CA6" t="s">
        <v>184</v>
      </c>
      <c r="CB6" s="7">
        <v>19.3</v>
      </c>
      <c r="CC6">
        <v>19</v>
      </c>
      <c r="CD6" s="7">
        <v>4</v>
      </c>
      <c r="CE6" s="7">
        <v>154.62</v>
      </c>
      <c r="CF6" s="7">
        <v>63.99</v>
      </c>
      <c r="CG6" s="7">
        <f t="shared" si="1"/>
        <v>90.63</v>
      </c>
      <c r="CH6" s="7">
        <v>63.52</v>
      </c>
      <c r="CI6" s="7">
        <v>45.47</v>
      </c>
      <c r="CJ6" s="7">
        <v>13.42</v>
      </c>
      <c r="CK6" s="6">
        <v>45953.4375</v>
      </c>
      <c r="CL6" t="s">
        <v>5</v>
      </c>
      <c r="CN6" t="s">
        <v>129</v>
      </c>
    </row>
    <row r="7" spans="1:92">
      <c r="A7" t="s">
        <v>191</v>
      </c>
      <c r="B7" s="6">
        <v>45954.395833333299</v>
      </c>
      <c r="C7" s="7">
        <v>93.5</v>
      </c>
      <c r="D7" s="7">
        <v>19</v>
      </c>
      <c r="E7" s="7">
        <v>1045</v>
      </c>
      <c r="F7" s="7">
        <v>74.44</v>
      </c>
      <c r="H7" s="7">
        <v>43.87</v>
      </c>
      <c r="I7" s="7">
        <f t="shared" si="0"/>
        <v>76.72999999999999</v>
      </c>
      <c r="J7" s="7">
        <v>21</v>
      </c>
      <c r="K7" s="7">
        <v>13</v>
      </c>
      <c r="L7" s="7">
        <v>32</v>
      </c>
      <c r="M7" s="7">
        <v>6.39</v>
      </c>
      <c r="N7" s="7">
        <v>61</v>
      </c>
      <c r="Q7" s="7">
        <v>6.92</v>
      </c>
      <c r="AA7" t="s">
        <v>184</v>
      </c>
      <c r="AB7" s="6">
        <v>45954.395833333299</v>
      </c>
      <c r="AC7" t="s">
        <v>114</v>
      </c>
      <c r="AD7" t="s">
        <v>115</v>
      </c>
      <c r="AE7" t="s">
        <v>116</v>
      </c>
      <c r="AF7">
        <v>19</v>
      </c>
      <c r="AG7" t="s">
        <v>185</v>
      </c>
      <c r="AH7">
        <v>4</v>
      </c>
      <c r="AJ7" t="s">
        <v>118</v>
      </c>
      <c r="AK7" s="7">
        <v>11.7</v>
      </c>
      <c r="AN7">
        <v>61.9</v>
      </c>
      <c r="AO7">
        <v>13.52</v>
      </c>
      <c r="AP7">
        <v>120.6</v>
      </c>
      <c r="AT7" t="s">
        <v>119</v>
      </c>
      <c r="AU7" t="s">
        <v>139</v>
      </c>
      <c r="AV7" t="s">
        <v>121</v>
      </c>
      <c r="AY7" t="s">
        <v>122</v>
      </c>
      <c r="AZ7" t="s">
        <v>123</v>
      </c>
      <c r="BO7" t="s">
        <v>124</v>
      </c>
      <c r="BP7" t="s">
        <v>125</v>
      </c>
      <c r="BQ7" t="s">
        <v>184</v>
      </c>
      <c r="BR7" t="s">
        <v>184</v>
      </c>
      <c r="BS7" t="s">
        <v>186</v>
      </c>
      <c r="BX7" t="s">
        <v>127</v>
      </c>
      <c r="BY7" t="s">
        <v>128</v>
      </c>
      <c r="BZ7" t="s">
        <v>191</v>
      </c>
      <c r="CA7" t="s">
        <v>184</v>
      </c>
      <c r="CB7" s="7">
        <v>20</v>
      </c>
      <c r="CC7">
        <v>19</v>
      </c>
      <c r="CD7" s="7">
        <v>4</v>
      </c>
      <c r="CE7" s="7">
        <v>120.6</v>
      </c>
      <c r="CF7" s="7">
        <v>43.87</v>
      </c>
      <c r="CG7" s="7">
        <f t="shared" si="1"/>
        <v>76.72999999999999</v>
      </c>
      <c r="CH7" s="7">
        <v>61.9</v>
      </c>
      <c r="CI7" s="7">
        <v>46.08</v>
      </c>
      <c r="CJ7" s="7">
        <v>13.52</v>
      </c>
      <c r="CK7" s="6">
        <v>45954.395833333299</v>
      </c>
      <c r="CL7" t="s">
        <v>5</v>
      </c>
      <c r="CN7" t="s">
        <v>129</v>
      </c>
    </row>
    <row r="8" spans="1:92">
      <c r="A8" t="s">
        <v>302</v>
      </c>
      <c r="B8" s="6">
        <f>B2+4</f>
        <v>45954.5</v>
      </c>
      <c r="C8" s="7">
        <v>96</v>
      </c>
      <c r="D8" s="7"/>
      <c r="E8" s="7"/>
      <c r="F8" s="7"/>
      <c r="H8" s="7"/>
      <c r="I8" s="7"/>
      <c r="J8" s="7"/>
      <c r="K8" s="7"/>
      <c r="L8" s="7"/>
      <c r="M8" s="7"/>
      <c r="N8" s="7"/>
      <c r="Q8" s="7"/>
      <c r="R8">
        <v>100</v>
      </c>
      <c r="AB8" s="6"/>
      <c r="AK8" s="7"/>
      <c r="CB8" s="7"/>
      <c r="CD8" s="7"/>
      <c r="CE8" s="7"/>
      <c r="CF8" s="7"/>
      <c r="CG8" s="7"/>
      <c r="CH8" s="7"/>
      <c r="CI8" s="7"/>
      <c r="CJ8" s="7"/>
      <c r="CK8" s="6"/>
    </row>
    <row r="9" spans="1:92">
      <c r="A9" t="s">
        <v>192</v>
      </c>
      <c r="B9" s="6">
        <v>45957.416666666701</v>
      </c>
      <c r="C9" s="7">
        <v>166</v>
      </c>
      <c r="D9" s="7">
        <v>19</v>
      </c>
      <c r="E9" s="7">
        <v>1009.9</v>
      </c>
      <c r="F9" s="7">
        <v>69.34</v>
      </c>
      <c r="H9" s="7">
        <v>7.49</v>
      </c>
      <c r="I9" s="7">
        <f t="shared" si="0"/>
        <v>35.04</v>
      </c>
      <c r="J9" s="7">
        <v>69</v>
      </c>
      <c r="K9" s="7">
        <v>36</v>
      </c>
      <c r="L9" s="7">
        <v>98</v>
      </c>
      <c r="M9" s="7">
        <v>7.34</v>
      </c>
      <c r="N9" s="7">
        <v>30</v>
      </c>
      <c r="Q9" s="7">
        <v>11.4</v>
      </c>
      <c r="AA9" t="s">
        <v>184</v>
      </c>
      <c r="AB9" s="6">
        <v>45957.416666666701</v>
      </c>
      <c r="AC9" t="s">
        <v>114</v>
      </c>
      <c r="AD9" t="s">
        <v>115</v>
      </c>
      <c r="AE9" t="s">
        <v>116</v>
      </c>
      <c r="AF9">
        <v>19</v>
      </c>
      <c r="AG9" t="s">
        <v>185</v>
      </c>
      <c r="AH9">
        <v>4</v>
      </c>
      <c r="AJ9" t="s">
        <v>118</v>
      </c>
      <c r="AK9" s="7">
        <v>3</v>
      </c>
      <c r="AN9">
        <v>113.98</v>
      </c>
      <c r="AO9">
        <v>13.27</v>
      </c>
      <c r="AP9">
        <v>42.53</v>
      </c>
      <c r="AT9" t="s">
        <v>119</v>
      </c>
      <c r="AU9" t="s">
        <v>141</v>
      </c>
      <c r="AV9" t="s">
        <v>121</v>
      </c>
      <c r="AY9" t="s">
        <v>122</v>
      </c>
      <c r="AZ9" t="s">
        <v>123</v>
      </c>
      <c r="BO9" t="s">
        <v>124</v>
      </c>
      <c r="BP9" t="s">
        <v>125</v>
      </c>
      <c r="BQ9" t="s">
        <v>184</v>
      </c>
      <c r="BR9" t="s">
        <v>184</v>
      </c>
      <c r="BS9" t="s">
        <v>186</v>
      </c>
      <c r="BX9" t="s">
        <v>127</v>
      </c>
      <c r="BY9" t="s">
        <v>128</v>
      </c>
      <c r="BZ9" t="s">
        <v>192</v>
      </c>
      <c r="CA9" t="s">
        <v>184</v>
      </c>
      <c r="CB9" s="7">
        <v>19.899999999999999</v>
      </c>
      <c r="CC9">
        <v>19</v>
      </c>
      <c r="CD9" s="7">
        <v>4</v>
      </c>
      <c r="CE9" s="7">
        <v>42.53</v>
      </c>
      <c r="CF9" s="7">
        <v>7.49</v>
      </c>
      <c r="CG9" s="7">
        <f t="shared" si="1"/>
        <v>35.04</v>
      </c>
      <c r="CH9" s="7">
        <v>113.98</v>
      </c>
      <c r="CI9" s="7">
        <v>79.03</v>
      </c>
      <c r="CJ9" s="7">
        <v>13.27</v>
      </c>
      <c r="CK9" s="6">
        <v>45957.416666666701</v>
      </c>
      <c r="CL9" t="s">
        <v>5</v>
      </c>
      <c r="CN9" t="s">
        <v>129</v>
      </c>
    </row>
    <row r="10" spans="1:92">
      <c r="A10" t="s">
        <v>193</v>
      </c>
      <c r="B10" s="6">
        <v>45958.458333333299</v>
      </c>
      <c r="C10" s="7">
        <v>191</v>
      </c>
      <c r="D10" s="7">
        <v>19</v>
      </c>
      <c r="E10" s="7">
        <v>1003</v>
      </c>
      <c r="F10" s="7">
        <v>69.290000000000006</v>
      </c>
      <c r="H10" s="7">
        <v>3.12</v>
      </c>
      <c r="I10" s="7">
        <f t="shared" si="0"/>
        <v>23.81</v>
      </c>
      <c r="J10" s="7">
        <v>71</v>
      </c>
      <c r="K10" s="7">
        <v>32</v>
      </c>
      <c r="L10" s="7">
        <v>97</v>
      </c>
      <c r="M10" s="7">
        <v>7.42</v>
      </c>
      <c r="N10" s="7">
        <v>28</v>
      </c>
      <c r="Q10" s="7"/>
      <c r="AA10" t="s">
        <v>184</v>
      </c>
      <c r="AB10" s="6">
        <v>45958.458333333299</v>
      </c>
      <c r="AC10" t="s">
        <v>114</v>
      </c>
      <c r="AD10" t="s">
        <v>115</v>
      </c>
      <c r="AE10" t="s">
        <v>116</v>
      </c>
      <c r="AF10">
        <v>19</v>
      </c>
      <c r="AG10" t="s">
        <v>185</v>
      </c>
      <c r="AH10">
        <v>4</v>
      </c>
      <c r="AJ10" t="s">
        <v>118</v>
      </c>
      <c r="AK10" s="7">
        <v>1.2</v>
      </c>
      <c r="AN10">
        <v>82.03</v>
      </c>
      <c r="AO10">
        <v>8.61</v>
      </c>
      <c r="AP10">
        <v>26.93</v>
      </c>
      <c r="AT10" t="s">
        <v>119</v>
      </c>
      <c r="AU10" t="s">
        <v>143</v>
      </c>
      <c r="AV10" t="s">
        <v>121</v>
      </c>
      <c r="AY10" t="s">
        <v>122</v>
      </c>
      <c r="AZ10" t="s">
        <v>123</v>
      </c>
      <c r="BO10" t="s">
        <v>124</v>
      </c>
      <c r="BP10" t="s">
        <v>125</v>
      </c>
      <c r="BQ10" t="s">
        <v>184</v>
      </c>
      <c r="BR10" t="s">
        <v>184</v>
      </c>
      <c r="BS10" t="s">
        <v>186</v>
      </c>
      <c r="BX10" t="s">
        <v>127</v>
      </c>
      <c r="BY10" t="s">
        <v>128</v>
      </c>
      <c r="BZ10" t="s">
        <v>193</v>
      </c>
      <c r="CA10" t="s">
        <v>184</v>
      </c>
      <c r="CB10" s="7">
        <v>19.3</v>
      </c>
      <c r="CC10">
        <v>19</v>
      </c>
      <c r="CD10" s="7">
        <v>4</v>
      </c>
      <c r="CE10" s="7">
        <v>26.93</v>
      </c>
      <c r="CF10" s="7">
        <v>3.12</v>
      </c>
      <c r="CG10" s="7">
        <f t="shared" si="1"/>
        <v>23.81</v>
      </c>
      <c r="CH10" s="7">
        <v>82.03</v>
      </c>
      <c r="CI10" s="7">
        <v>56.84</v>
      </c>
      <c r="CJ10" s="7">
        <v>8.61</v>
      </c>
      <c r="CK10" s="6">
        <v>45958.458333333299</v>
      </c>
      <c r="CL10" t="s">
        <v>5</v>
      </c>
      <c r="CN10" t="s">
        <v>129</v>
      </c>
    </row>
    <row r="11" spans="1:92">
      <c r="A11" t="s">
        <v>194</v>
      </c>
      <c r="B11" s="6">
        <v>45959.395833333299</v>
      </c>
      <c r="C11" s="7">
        <v>213.5</v>
      </c>
      <c r="D11" s="7">
        <v>19</v>
      </c>
      <c r="E11" s="7">
        <v>996.4</v>
      </c>
      <c r="F11" s="7">
        <v>70.959999999999994</v>
      </c>
      <c r="H11" s="7">
        <v>2.48</v>
      </c>
      <c r="I11" s="7">
        <f t="shared" si="0"/>
        <v>11.799999999999999</v>
      </c>
      <c r="J11" s="7"/>
      <c r="K11" s="7"/>
      <c r="L11" s="7"/>
      <c r="M11" s="7">
        <v>7.93</v>
      </c>
      <c r="N11" s="7">
        <v>1E-4</v>
      </c>
      <c r="Q11" s="7">
        <v>13.35</v>
      </c>
      <c r="AA11" t="s">
        <v>184</v>
      </c>
      <c r="AB11" s="6">
        <v>45959.395833333299</v>
      </c>
      <c r="AC11" t="s">
        <v>114</v>
      </c>
      <c r="AD11" t="s">
        <v>115</v>
      </c>
      <c r="AE11" t="s">
        <v>116</v>
      </c>
      <c r="AF11">
        <v>19</v>
      </c>
      <c r="AG11" t="s">
        <v>185</v>
      </c>
      <c r="AH11">
        <v>4</v>
      </c>
      <c r="AJ11" t="s">
        <v>118</v>
      </c>
      <c r="AK11" s="7">
        <v>-0.4</v>
      </c>
      <c r="AN11">
        <v>103.15</v>
      </c>
      <c r="AO11">
        <v>12.66</v>
      </c>
      <c r="AP11">
        <v>14.28</v>
      </c>
      <c r="AT11" t="s">
        <v>119</v>
      </c>
      <c r="AU11" t="s">
        <v>145</v>
      </c>
      <c r="AV11" t="s">
        <v>121</v>
      </c>
      <c r="AY11" t="s">
        <v>122</v>
      </c>
      <c r="AZ11" t="s">
        <v>123</v>
      </c>
      <c r="BO11" t="s">
        <v>124</v>
      </c>
      <c r="BP11" t="s">
        <v>125</v>
      </c>
      <c r="BQ11" t="s">
        <v>184</v>
      </c>
      <c r="BR11" t="s">
        <v>184</v>
      </c>
      <c r="BS11" t="s">
        <v>186</v>
      </c>
      <c r="BX11" t="s">
        <v>127</v>
      </c>
      <c r="BY11" t="s">
        <v>128</v>
      </c>
      <c r="BZ11" t="s">
        <v>194</v>
      </c>
      <c r="CA11" t="s">
        <v>184</v>
      </c>
      <c r="CB11" s="7">
        <v>20.3</v>
      </c>
      <c r="CC11">
        <v>19</v>
      </c>
      <c r="CD11" s="7">
        <v>4</v>
      </c>
      <c r="CE11" s="7">
        <v>14.28</v>
      </c>
      <c r="CF11" s="7">
        <v>2.48</v>
      </c>
      <c r="CG11" s="7">
        <f t="shared" si="1"/>
        <v>11.799999999999999</v>
      </c>
      <c r="CH11" s="7">
        <v>103.15</v>
      </c>
      <c r="CI11" s="7">
        <v>73.2</v>
      </c>
      <c r="CJ11" s="7">
        <v>12.66</v>
      </c>
      <c r="CK11" s="6">
        <v>45959.395833333299</v>
      </c>
      <c r="CL11" t="s">
        <v>5</v>
      </c>
      <c r="CN11" t="s">
        <v>129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N11"/>
  <sheetViews>
    <sheetView workbookViewId="0">
      <selection activeCell="A8" sqref="A8:XFD8"/>
    </sheetView>
  </sheetViews>
  <sheetFormatPr baseColWidth="10" defaultColWidth="9" defaultRowHeight="14.25"/>
  <cols>
    <col min="1" max="3" width="18" customWidth="1"/>
    <col min="4" max="92" width="13" customWidth="1"/>
  </cols>
  <sheetData>
    <row r="1" spans="1:92" ht="60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67</v>
      </c>
      <c r="AW1" s="1" t="s">
        <v>68</v>
      </c>
      <c r="AX1" s="1" t="s">
        <v>69</v>
      </c>
      <c r="AY1" s="1" t="s">
        <v>70</v>
      </c>
      <c r="AZ1" s="1" t="s">
        <v>71</v>
      </c>
      <c r="BA1" s="1" t="s">
        <v>72</v>
      </c>
      <c r="BB1" s="1" t="s">
        <v>73</v>
      </c>
      <c r="BC1" s="1" t="s">
        <v>74</v>
      </c>
      <c r="BD1" s="1" t="s">
        <v>75</v>
      </c>
      <c r="BE1" s="1" t="s">
        <v>76</v>
      </c>
      <c r="BF1" s="1" t="s">
        <v>77</v>
      </c>
      <c r="BG1" s="1" t="s">
        <v>78</v>
      </c>
      <c r="BH1" s="1" t="s">
        <v>79</v>
      </c>
      <c r="BI1" s="1" t="s">
        <v>80</v>
      </c>
      <c r="BJ1" s="1" t="s">
        <v>81</v>
      </c>
      <c r="BK1" s="1" t="s">
        <v>82</v>
      </c>
      <c r="BL1" s="1" t="s">
        <v>83</v>
      </c>
      <c r="BM1" s="1" t="s">
        <v>84</v>
      </c>
      <c r="BN1" s="1" t="s">
        <v>85</v>
      </c>
      <c r="BO1" s="1" t="s">
        <v>86</v>
      </c>
      <c r="BP1" s="1" t="s">
        <v>87</v>
      </c>
      <c r="BQ1" s="1" t="s">
        <v>88</v>
      </c>
      <c r="BR1" s="1" t="s">
        <v>89</v>
      </c>
      <c r="BS1" s="1" t="s">
        <v>90</v>
      </c>
      <c r="BT1" s="1" t="s">
        <v>91</v>
      </c>
      <c r="BU1" s="1" t="s">
        <v>92</v>
      </c>
      <c r="BV1" s="1" t="s">
        <v>93</v>
      </c>
      <c r="BW1" s="1" t="s">
        <v>94</v>
      </c>
      <c r="BX1" s="1" t="s">
        <v>95</v>
      </c>
      <c r="BY1" s="1" t="s">
        <v>96</v>
      </c>
      <c r="BZ1" s="1" t="s">
        <v>97</v>
      </c>
      <c r="CA1" s="1" t="s">
        <v>98</v>
      </c>
      <c r="CB1" s="1" t="s">
        <v>99</v>
      </c>
      <c r="CC1" s="1" t="s">
        <v>100</v>
      </c>
      <c r="CD1" s="1" t="s">
        <v>101</v>
      </c>
      <c r="CE1" s="1" t="s">
        <v>102</v>
      </c>
      <c r="CF1" s="1" t="s">
        <v>103</v>
      </c>
      <c r="CG1" s="1" t="s">
        <v>104</v>
      </c>
      <c r="CH1" s="1" t="s">
        <v>105</v>
      </c>
      <c r="CI1" s="1" t="s">
        <v>106</v>
      </c>
      <c r="CJ1" s="1" t="s">
        <v>107</v>
      </c>
      <c r="CK1" s="1" t="s">
        <v>108</v>
      </c>
      <c r="CL1" s="1" t="s">
        <v>109</v>
      </c>
      <c r="CM1" s="1" t="s">
        <v>110</v>
      </c>
      <c r="CN1" s="1" t="s">
        <v>111</v>
      </c>
    </row>
    <row r="2" spans="1:92">
      <c r="A2" t="s">
        <v>195</v>
      </c>
      <c r="B2" s="6">
        <v>45950.5</v>
      </c>
      <c r="C2" s="7">
        <v>0</v>
      </c>
      <c r="D2" s="7">
        <v>23</v>
      </c>
      <c r="E2" s="7">
        <v>1095.3</v>
      </c>
      <c r="F2" s="7"/>
      <c r="H2" s="7">
        <v>122.56</v>
      </c>
      <c r="I2" s="7">
        <f>IF(OR(CE2="",CF2=""),"",CE2-CF2)</f>
        <v>114.22999999999999</v>
      </c>
      <c r="J2" s="7">
        <v>22</v>
      </c>
      <c r="K2" s="7">
        <v>244</v>
      </c>
      <c r="L2" s="7">
        <v>223</v>
      </c>
      <c r="M2" s="7">
        <v>0.66</v>
      </c>
      <c r="N2" s="7">
        <v>1</v>
      </c>
      <c r="Q2" s="7">
        <v>0</v>
      </c>
      <c r="AA2" t="s">
        <v>196</v>
      </c>
      <c r="AB2" s="6">
        <v>45950.5</v>
      </c>
      <c r="AC2" t="s">
        <v>114</v>
      </c>
      <c r="AD2" t="s">
        <v>115</v>
      </c>
      <c r="AE2" t="s">
        <v>116</v>
      </c>
      <c r="AF2">
        <v>23</v>
      </c>
      <c r="AG2" t="s">
        <v>197</v>
      </c>
      <c r="AH2">
        <v>4</v>
      </c>
      <c r="AJ2" t="s">
        <v>118</v>
      </c>
      <c r="AK2" s="7">
        <v>23.5</v>
      </c>
      <c r="AN2">
        <v>15</v>
      </c>
      <c r="AP2">
        <v>236.79</v>
      </c>
      <c r="AT2" t="s">
        <v>119</v>
      </c>
      <c r="AU2" t="s">
        <v>120</v>
      </c>
      <c r="AV2" t="s">
        <v>121</v>
      </c>
      <c r="AY2" t="s">
        <v>122</v>
      </c>
      <c r="AZ2" t="s">
        <v>123</v>
      </c>
      <c r="BO2" t="s">
        <v>124</v>
      </c>
      <c r="BP2" t="s">
        <v>125</v>
      </c>
      <c r="BQ2" t="s">
        <v>196</v>
      </c>
      <c r="BR2" t="s">
        <v>196</v>
      </c>
      <c r="BS2" t="s">
        <v>198</v>
      </c>
      <c r="BX2" t="s">
        <v>127</v>
      </c>
      <c r="BY2" t="s">
        <v>128</v>
      </c>
      <c r="BZ2" t="s">
        <v>195</v>
      </c>
      <c r="CA2" t="s">
        <v>196</v>
      </c>
      <c r="CB2" s="7">
        <v>23.6</v>
      </c>
      <c r="CC2">
        <v>23</v>
      </c>
      <c r="CD2" s="7">
        <v>4</v>
      </c>
      <c r="CE2" s="7">
        <v>236.79</v>
      </c>
      <c r="CF2" s="7">
        <v>122.56</v>
      </c>
      <c r="CG2" s="7">
        <f>IF(OR(CE2="",CF2=""),"",CE2-CF2)</f>
        <v>114.22999999999999</v>
      </c>
      <c r="CH2" s="7">
        <v>15</v>
      </c>
      <c r="CI2" s="7"/>
      <c r="CJ2" s="7"/>
      <c r="CK2" s="6">
        <v>45950.5</v>
      </c>
      <c r="CL2" t="s">
        <v>5</v>
      </c>
      <c r="CN2" t="s">
        <v>129</v>
      </c>
    </row>
    <row r="3" spans="1:92">
      <c r="A3" t="s">
        <v>199</v>
      </c>
      <c r="B3" s="6">
        <v>45950.625</v>
      </c>
      <c r="C3" s="7">
        <v>3</v>
      </c>
      <c r="D3" s="7">
        <v>23</v>
      </c>
      <c r="E3" s="7">
        <v>1095.2</v>
      </c>
      <c r="F3" s="7">
        <v>51.82</v>
      </c>
      <c r="H3" s="7">
        <v>118.27</v>
      </c>
      <c r="I3" s="7">
        <f t="shared" ref="I3:I11" si="0">IF(OR(CE3="",CF3=""),"",CE3-CF3)</f>
        <v>116.08</v>
      </c>
      <c r="J3" s="7">
        <v>85</v>
      </c>
      <c r="K3" s="7">
        <v>230</v>
      </c>
      <c r="L3" s="7">
        <v>274</v>
      </c>
      <c r="M3" s="7">
        <v>0.14000000000000001</v>
      </c>
      <c r="N3" s="7">
        <v>3</v>
      </c>
      <c r="Q3" s="7"/>
      <c r="AA3" t="s">
        <v>196</v>
      </c>
      <c r="AB3" s="6">
        <v>45950.625</v>
      </c>
      <c r="AC3" t="s">
        <v>114</v>
      </c>
      <c r="AD3" t="s">
        <v>115</v>
      </c>
      <c r="AE3" t="s">
        <v>116</v>
      </c>
      <c r="AF3">
        <v>23</v>
      </c>
      <c r="AG3" t="s">
        <v>197</v>
      </c>
      <c r="AH3">
        <v>4</v>
      </c>
      <c r="AJ3" t="s">
        <v>118</v>
      </c>
      <c r="AK3" s="7">
        <v>23.4</v>
      </c>
      <c r="AN3">
        <v>30.605</v>
      </c>
      <c r="AO3">
        <v>7.78</v>
      </c>
      <c r="AP3">
        <v>234.35</v>
      </c>
      <c r="AT3" t="s">
        <v>119</v>
      </c>
      <c r="AU3" t="s">
        <v>131</v>
      </c>
      <c r="AV3" t="s">
        <v>121</v>
      </c>
      <c r="AY3" t="s">
        <v>122</v>
      </c>
      <c r="AZ3" t="s">
        <v>123</v>
      </c>
      <c r="BO3" t="s">
        <v>124</v>
      </c>
      <c r="BP3" t="s">
        <v>125</v>
      </c>
      <c r="BQ3" t="s">
        <v>196</v>
      </c>
      <c r="BR3" t="s">
        <v>196</v>
      </c>
      <c r="BS3" t="s">
        <v>198</v>
      </c>
      <c r="BX3" t="s">
        <v>127</v>
      </c>
      <c r="BY3" t="s">
        <v>128</v>
      </c>
      <c r="BZ3" t="s">
        <v>199</v>
      </c>
      <c r="CA3" t="s">
        <v>196</v>
      </c>
      <c r="CB3" s="7">
        <v>23.6</v>
      </c>
      <c r="CC3">
        <v>23</v>
      </c>
      <c r="CD3" s="7">
        <v>4</v>
      </c>
      <c r="CE3" s="7">
        <v>234.35</v>
      </c>
      <c r="CF3" s="7">
        <v>118.27</v>
      </c>
      <c r="CG3" s="7">
        <f t="shared" ref="CG3:CG11" si="1">IF(OR(CE3="",CF3=""),"",CE3-CF3)</f>
        <v>116.08</v>
      </c>
      <c r="CH3" s="7">
        <v>30.605</v>
      </c>
      <c r="CI3" s="7">
        <v>15.86</v>
      </c>
      <c r="CJ3" s="7">
        <v>7.78</v>
      </c>
      <c r="CK3" s="6">
        <v>45950.625</v>
      </c>
      <c r="CL3" t="s">
        <v>5</v>
      </c>
      <c r="CN3" t="s">
        <v>129</v>
      </c>
    </row>
    <row r="4" spans="1:92">
      <c r="A4" t="s">
        <v>200</v>
      </c>
      <c r="B4" s="6">
        <v>45951.375</v>
      </c>
      <c r="C4" s="7">
        <v>21</v>
      </c>
      <c r="D4" s="7">
        <v>23</v>
      </c>
      <c r="E4" s="7">
        <v>1085</v>
      </c>
      <c r="F4" s="7">
        <v>64.489999999999995</v>
      </c>
      <c r="H4" s="7">
        <v>101.07</v>
      </c>
      <c r="I4" s="7">
        <f t="shared" si="0"/>
        <v>104.25</v>
      </c>
      <c r="J4" s="7">
        <v>23</v>
      </c>
      <c r="K4" s="7">
        <v>173</v>
      </c>
      <c r="L4" s="7">
        <v>165</v>
      </c>
      <c r="M4" s="7">
        <v>1.69</v>
      </c>
      <c r="N4" s="7">
        <v>59</v>
      </c>
      <c r="Q4" s="7"/>
      <c r="AA4" t="s">
        <v>196</v>
      </c>
      <c r="AB4" s="6">
        <v>45951.375</v>
      </c>
      <c r="AC4" t="s">
        <v>114</v>
      </c>
      <c r="AD4" t="s">
        <v>115</v>
      </c>
      <c r="AE4" t="s">
        <v>116</v>
      </c>
      <c r="AF4">
        <v>23</v>
      </c>
      <c r="AG4" t="s">
        <v>197</v>
      </c>
      <c r="AH4">
        <v>4</v>
      </c>
      <c r="AJ4" t="s">
        <v>118</v>
      </c>
      <c r="AK4" s="7">
        <v>21.1</v>
      </c>
      <c r="AN4">
        <v>42.4</v>
      </c>
      <c r="AO4">
        <v>20.11</v>
      </c>
      <c r="AP4">
        <v>205.32</v>
      </c>
      <c r="AT4" t="s">
        <v>119</v>
      </c>
      <c r="AU4" t="s">
        <v>133</v>
      </c>
      <c r="AV4" t="s">
        <v>121</v>
      </c>
      <c r="AY4" t="s">
        <v>122</v>
      </c>
      <c r="AZ4" t="s">
        <v>123</v>
      </c>
      <c r="BO4" t="s">
        <v>124</v>
      </c>
      <c r="BP4" t="s">
        <v>125</v>
      </c>
      <c r="BQ4" t="s">
        <v>196</v>
      </c>
      <c r="BR4" t="s">
        <v>196</v>
      </c>
      <c r="BS4" t="s">
        <v>198</v>
      </c>
      <c r="BX4" t="s">
        <v>127</v>
      </c>
      <c r="BY4" t="s">
        <v>128</v>
      </c>
      <c r="BZ4" t="s">
        <v>200</v>
      </c>
      <c r="CA4" t="s">
        <v>196</v>
      </c>
      <c r="CB4" s="7">
        <v>23</v>
      </c>
      <c r="CC4">
        <v>23</v>
      </c>
      <c r="CD4" s="7">
        <v>4</v>
      </c>
      <c r="CE4" s="7">
        <v>205.32</v>
      </c>
      <c r="CF4" s="7">
        <v>101.07</v>
      </c>
      <c r="CG4" s="7">
        <f t="shared" si="1"/>
        <v>104.25</v>
      </c>
      <c r="CH4" s="7">
        <v>42.4</v>
      </c>
      <c r="CI4" s="7">
        <v>27.34</v>
      </c>
      <c r="CJ4" s="7">
        <v>20.11</v>
      </c>
      <c r="CK4" s="6">
        <v>45951.375</v>
      </c>
      <c r="CL4" t="s">
        <v>5</v>
      </c>
      <c r="CN4" t="s">
        <v>129</v>
      </c>
    </row>
    <row r="5" spans="1:92">
      <c r="A5" t="s">
        <v>201</v>
      </c>
      <c r="B5" s="6">
        <v>45952.416666666701</v>
      </c>
      <c r="C5" s="7">
        <v>46</v>
      </c>
      <c r="D5" s="7">
        <v>23</v>
      </c>
      <c r="E5" s="7">
        <v>1052.9000000000001</v>
      </c>
      <c r="F5" s="7">
        <v>77.97</v>
      </c>
      <c r="H5" s="7">
        <v>54.09</v>
      </c>
      <c r="I5" s="7">
        <f t="shared" si="0"/>
        <v>83.549999999999983</v>
      </c>
      <c r="J5" s="7">
        <v>12</v>
      </c>
      <c r="K5" s="7">
        <v>6</v>
      </c>
      <c r="L5" s="7">
        <v>16</v>
      </c>
      <c r="M5" s="7">
        <v>5.39</v>
      </c>
      <c r="N5" s="7">
        <v>79</v>
      </c>
      <c r="Q5" s="7"/>
      <c r="AA5" t="s">
        <v>196</v>
      </c>
      <c r="AB5" s="6">
        <v>45952.416666666701</v>
      </c>
      <c r="AC5" t="s">
        <v>114</v>
      </c>
      <c r="AD5" t="s">
        <v>115</v>
      </c>
      <c r="AE5" t="s">
        <v>116</v>
      </c>
      <c r="AF5">
        <v>23</v>
      </c>
      <c r="AG5" t="s">
        <v>197</v>
      </c>
      <c r="AH5">
        <v>4</v>
      </c>
      <c r="AJ5" t="s">
        <v>118</v>
      </c>
      <c r="AK5" s="7">
        <v>13.7</v>
      </c>
      <c r="AN5">
        <v>69.739999999999995</v>
      </c>
      <c r="AO5">
        <v>8.92</v>
      </c>
      <c r="AP5">
        <v>137.63999999999999</v>
      </c>
      <c r="AT5" t="s">
        <v>119</v>
      </c>
      <c r="AU5" t="s">
        <v>135</v>
      </c>
      <c r="AV5" t="s">
        <v>121</v>
      </c>
      <c r="AY5" t="s">
        <v>122</v>
      </c>
      <c r="AZ5" t="s">
        <v>123</v>
      </c>
      <c r="BO5" t="s">
        <v>124</v>
      </c>
      <c r="BP5" t="s">
        <v>125</v>
      </c>
      <c r="BQ5" t="s">
        <v>196</v>
      </c>
      <c r="BR5" t="s">
        <v>196</v>
      </c>
      <c r="BS5" t="s">
        <v>198</v>
      </c>
      <c r="BX5" t="s">
        <v>127</v>
      </c>
      <c r="BY5" t="s">
        <v>128</v>
      </c>
      <c r="BZ5" t="s">
        <v>201</v>
      </c>
      <c r="CA5" t="s">
        <v>196</v>
      </c>
      <c r="CB5" s="7">
        <v>23.1</v>
      </c>
      <c r="CC5">
        <v>23</v>
      </c>
      <c r="CD5" s="7">
        <v>4</v>
      </c>
      <c r="CE5" s="7">
        <v>137.63999999999999</v>
      </c>
      <c r="CF5" s="7">
        <v>54.09</v>
      </c>
      <c r="CG5" s="7">
        <f t="shared" si="1"/>
        <v>83.549999999999983</v>
      </c>
      <c r="CH5" s="7">
        <v>69.739999999999995</v>
      </c>
      <c r="CI5" s="7">
        <v>54.38</v>
      </c>
      <c r="CJ5" s="7">
        <v>8.92</v>
      </c>
      <c r="CK5" s="6">
        <v>45952.416666666701</v>
      </c>
      <c r="CL5" t="s">
        <v>5</v>
      </c>
      <c r="CN5" t="s">
        <v>129</v>
      </c>
    </row>
    <row r="6" spans="1:92">
      <c r="A6" t="s">
        <v>202</v>
      </c>
      <c r="B6" s="6">
        <v>45953.4375</v>
      </c>
      <c r="C6" s="7">
        <v>70.5</v>
      </c>
      <c r="D6" s="7">
        <v>23</v>
      </c>
      <c r="E6" s="7">
        <v>1031.7</v>
      </c>
      <c r="F6" s="7">
        <v>74.03</v>
      </c>
      <c r="H6" s="7">
        <v>28.02</v>
      </c>
      <c r="I6" s="7">
        <f t="shared" si="0"/>
        <v>63.86</v>
      </c>
      <c r="J6" s="7">
        <v>5</v>
      </c>
      <c r="K6" s="7">
        <v>1E-4</v>
      </c>
      <c r="L6" s="7">
        <v>1E-4</v>
      </c>
      <c r="M6" s="7">
        <v>6.36</v>
      </c>
      <c r="N6" s="7">
        <v>46</v>
      </c>
      <c r="Q6" s="7"/>
      <c r="AA6" t="s">
        <v>196</v>
      </c>
      <c r="AB6" s="6">
        <v>45953.4375</v>
      </c>
      <c r="AC6" t="s">
        <v>114</v>
      </c>
      <c r="AD6" t="s">
        <v>115</v>
      </c>
      <c r="AE6" t="s">
        <v>116</v>
      </c>
      <c r="AF6">
        <v>23</v>
      </c>
      <c r="AG6" t="s">
        <v>197</v>
      </c>
      <c r="AH6">
        <v>4</v>
      </c>
      <c r="AJ6" t="s">
        <v>118</v>
      </c>
      <c r="AK6" s="7">
        <v>8.6999999999999993</v>
      </c>
      <c r="AN6">
        <v>63.29</v>
      </c>
      <c r="AO6">
        <v>9.83</v>
      </c>
      <c r="AP6">
        <v>91.88</v>
      </c>
      <c r="AT6" t="s">
        <v>119</v>
      </c>
      <c r="AU6" t="s">
        <v>137</v>
      </c>
      <c r="AV6" t="s">
        <v>121</v>
      </c>
      <c r="AY6" t="s">
        <v>122</v>
      </c>
      <c r="AZ6" t="s">
        <v>123</v>
      </c>
      <c r="BO6" t="s">
        <v>124</v>
      </c>
      <c r="BP6" t="s">
        <v>125</v>
      </c>
      <c r="BQ6" t="s">
        <v>196</v>
      </c>
      <c r="BR6" t="s">
        <v>196</v>
      </c>
      <c r="BS6" t="s">
        <v>198</v>
      </c>
      <c r="BX6" t="s">
        <v>127</v>
      </c>
      <c r="BY6" t="s">
        <v>128</v>
      </c>
      <c r="BZ6" t="s">
        <v>202</v>
      </c>
      <c r="CA6" t="s">
        <v>196</v>
      </c>
      <c r="CB6" s="7">
        <v>23.3</v>
      </c>
      <c r="CC6">
        <v>23</v>
      </c>
      <c r="CD6" s="7">
        <v>4</v>
      </c>
      <c r="CE6" s="7">
        <v>91.88</v>
      </c>
      <c r="CF6" s="7">
        <v>28.02</v>
      </c>
      <c r="CG6" s="7">
        <f t="shared" si="1"/>
        <v>63.86</v>
      </c>
      <c r="CH6" s="7">
        <v>63.29</v>
      </c>
      <c r="CI6" s="7">
        <v>46.85</v>
      </c>
      <c r="CJ6" s="7">
        <v>9.83</v>
      </c>
      <c r="CK6" s="6">
        <v>45953.4375</v>
      </c>
      <c r="CL6" t="s">
        <v>5</v>
      </c>
      <c r="CN6" t="s">
        <v>129</v>
      </c>
    </row>
    <row r="7" spans="1:92">
      <c r="A7" t="s">
        <v>203</v>
      </c>
      <c r="B7" s="6">
        <v>45954.395833333299</v>
      </c>
      <c r="C7" s="7">
        <v>93.5</v>
      </c>
      <c r="D7" s="7">
        <v>23</v>
      </c>
      <c r="E7" s="7">
        <v>1018.9</v>
      </c>
      <c r="F7" s="7">
        <v>71.37</v>
      </c>
      <c r="H7" s="7">
        <v>15.36</v>
      </c>
      <c r="I7" s="7">
        <f t="shared" si="0"/>
        <v>49.730000000000004</v>
      </c>
      <c r="J7" s="7">
        <v>6</v>
      </c>
      <c r="K7" s="7">
        <v>1E-4</v>
      </c>
      <c r="L7" s="7">
        <v>1E-4</v>
      </c>
      <c r="M7" s="7">
        <v>6.64</v>
      </c>
      <c r="N7" s="7">
        <v>45</v>
      </c>
      <c r="Q7" s="7">
        <v>9.9600000000000009</v>
      </c>
      <c r="AA7" t="s">
        <v>196</v>
      </c>
      <c r="AB7" s="6">
        <v>45954.395833333299</v>
      </c>
      <c r="AC7" t="s">
        <v>114</v>
      </c>
      <c r="AD7" t="s">
        <v>115</v>
      </c>
      <c r="AE7" t="s">
        <v>116</v>
      </c>
      <c r="AF7">
        <v>23</v>
      </c>
      <c r="AG7" t="s">
        <v>197</v>
      </c>
      <c r="AH7">
        <v>4</v>
      </c>
      <c r="AJ7" t="s">
        <v>118</v>
      </c>
      <c r="AK7" s="7">
        <v>5.4</v>
      </c>
      <c r="AN7">
        <v>69.739999999999995</v>
      </c>
      <c r="AO7">
        <v>9.0299999999999994</v>
      </c>
      <c r="AP7">
        <v>65.09</v>
      </c>
      <c r="AT7" t="s">
        <v>119</v>
      </c>
      <c r="AU7" t="s">
        <v>139</v>
      </c>
      <c r="AV7" t="s">
        <v>121</v>
      </c>
      <c r="AY7" t="s">
        <v>122</v>
      </c>
      <c r="AZ7" t="s">
        <v>123</v>
      </c>
      <c r="BO7" t="s">
        <v>124</v>
      </c>
      <c r="BP7" t="s">
        <v>125</v>
      </c>
      <c r="BQ7" t="s">
        <v>196</v>
      </c>
      <c r="BR7" t="s">
        <v>196</v>
      </c>
      <c r="BS7" t="s">
        <v>198</v>
      </c>
      <c r="BX7" t="s">
        <v>127</v>
      </c>
      <c r="BY7" t="s">
        <v>128</v>
      </c>
      <c r="BZ7" t="s">
        <v>203</v>
      </c>
      <c r="CA7" t="s">
        <v>196</v>
      </c>
      <c r="CB7" s="7">
        <v>22.7</v>
      </c>
      <c r="CC7">
        <v>23</v>
      </c>
      <c r="CD7" s="7">
        <v>4</v>
      </c>
      <c r="CE7" s="7">
        <v>65.09</v>
      </c>
      <c r="CF7" s="7">
        <v>15.36</v>
      </c>
      <c r="CG7" s="7">
        <f t="shared" si="1"/>
        <v>49.730000000000004</v>
      </c>
      <c r="CH7" s="7">
        <v>69.739999999999995</v>
      </c>
      <c r="CI7" s="7">
        <v>49.77</v>
      </c>
      <c r="CJ7" s="7">
        <v>9.0299999999999994</v>
      </c>
      <c r="CK7" s="6">
        <v>45954.395833333299</v>
      </c>
      <c r="CL7" t="s">
        <v>5</v>
      </c>
      <c r="CN7" t="s">
        <v>129</v>
      </c>
    </row>
    <row r="8" spans="1:92">
      <c r="A8" t="s">
        <v>303</v>
      </c>
      <c r="B8" s="6">
        <f>B2+4</f>
        <v>45954.5</v>
      </c>
      <c r="C8" s="7">
        <v>96</v>
      </c>
      <c r="D8" s="7"/>
      <c r="E8" s="7"/>
      <c r="F8" s="7"/>
      <c r="H8" s="7"/>
      <c r="I8" s="7"/>
      <c r="J8" s="7"/>
      <c r="K8" s="7"/>
      <c r="L8" s="7"/>
      <c r="M8" s="7"/>
      <c r="N8" s="7"/>
      <c r="Q8" s="7"/>
      <c r="R8">
        <v>100</v>
      </c>
      <c r="AB8" s="6"/>
      <c r="AK8" s="7"/>
      <c r="CB8" s="7"/>
      <c r="CD8" s="7"/>
      <c r="CE8" s="7"/>
      <c r="CF8" s="7"/>
      <c r="CG8" s="7"/>
      <c r="CH8" s="7"/>
      <c r="CI8" s="7"/>
      <c r="CJ8" s="7"/>
      <c r="CK8" s="6"/>
    </row>
    <row r="9" spans="1:92">
      <c r="A9" t="s">
        <v>204</v>
      </c>
      <c r="B9" s="6">
        <v>45957.416666666701</v>
      </c>
      <c r="C9" s="7">
        <v>166</v>
      </c>
      <c r="D9" s="7">
        <v>23</v>
      </c>
      <c r="E9" s="7">
        <v>991.6</v>
      </c>
      <c r="F9" s="7">
        <v>60.57</v>
      </c>
      <c r="H9" s="7">
        <v>1.05</v>
      </c>
      <c r="I9" s="7">
        <f t="shared" si="0"/>
        <v>4.4400000000000004</v>
      </c>
      <c r="J9" s="7">
        <v>68</v>
      </c>
      <c r="K9" s="7">
        <v>40</v>
      </c>
      <c r="L9" s="7">
        <v>100</v>
      </c>
      <c r="M9" s="7">
        <v>7.08</v>
      </c>
      <c r="N9" s="7">
        <v>31</v>
      </c>
      <c r="Q9" s="7">
        <v>13.75</v>
      </c>
      <c r="AA9" t="s">
        <v>196</v>
      </c>
      <c r="AB9" s="6">
        <v>45957.416666666701</v>
      </c>
      <c r="AC9" t="s">
        <v>114</v>
      </c>
      <c r="AD9" t="s">
        <v>115</v>
      </c>
      <c r="AE9" t="s">
        <v>116</v>
      </c>
      <c r="AF9">
        <v>23</v>
      </c>
      <c r="AG9" t="s">
        <v>197</v>
      </c>
      <c r="AH9">
        <v>4</v>
      </c>
      <c r="AJ9" t="s">
        <v>118</v>
      </c>
      <c r="AK9" s="7">
        <v>-1.5</v>
      </c>
      <c r="AN9">
        <v>75.959999999999994</v>
      </c>
      <c r="AO9">
        <v>7.18</v>
      </c>
      <c r="AP9">
        <v>5.49</v>
      </c>
      <c r="AT9" t="s">
        <v>119</v>
      </c>
      <c r="AU9" t="s">
        <v>141</v>
      </c>
      <c r="AV9" t="s">
        <v>121</v>
      </c>
      <c r="AY9" t="s">
        <v>122</v>
      </c>
      <c r="AZ9" t="s">
        <v>123</v>
      </c>
      <c r="BO9" t="s">
        <v>124</v>
      </c>
      <c r="BP9" t="s">
        <v>125</v>
      </c>
      <c r="BQ9" t="s">
        <v>196</v>
      </c>
      <c r="BR9" t="s">
        <v>196</v>
      </c>
      <c r="BS9" t="s">
        <v>198</v>
      </c>
      <c r="BX9" t="s">
        <v>127</v>
      </c>
      <c r="BY9" t="s">
        <v>128</v>
      </c>
      <c r="BZ9" t="s">
        <v>204</v>
      </c>
      <c r="CA9" t="s">
        <v>196</v>
      </c>
      <c r="CB9" s="7">
        <v>22.6</v>
      </c>
      <c r="CC9">
        <v>23</v>
      </c>
      <c r="CD9" s="7">
        <v>4</v>
      </c>
      <c r="CE9" s="7">
        <v>5.49</v>
      </c>
      <c r="CF9" s="7">
        <v>1.05</v>
      </c>
      <c r="CG9" s="7">
        <f t="shared" si="1"/>
        <v>4.4400000000000004</v>
      </c>
      <c r="CH9" s="7">
        <v>75.959999999999994</v>
      </c>
      <c r="CI9" s="7">
        <v>46.01</v>
      </c>
      <c r="CJ9" s="7">
        <v>7.18</v>
      </c>
      <c r="CK9" s="6">
        <v>45957.416666666701</v>
      </c>
      <c r="CL9" t="s">
        <v>5</v>
      </c>
      <c r="CN9" t="s">
        <v>129</v>
      </c>
    </row>
    <row r="10" spans="1:92">
      <c r="A10" t="s">
        <v>205</v>
      </c>
      <c r="B10" s="6">
        <v>45958.458333333299</v>
      </c>
      <c r="C10" s="7">
        <v>191</v>
      </c>
      <c r="D10" s="7">
        <v>23</v>
      </c>
      <c r="E10" s="7">
        <v>988.6</v>
      </c>
      <c r="F10" s="7">
        <v>54.32</v>
      </c>
      <c r="H10" s="7">
        <v>0.56000000000000005</v>
      </c>
      <c r="I10" s="7">
        <f t="shared" si="0"/>
        <v>-0.45000000000000007</v>
      </c>
      <c r="J10" s="7">
        <v>66</v>
      </c>
      <c r="K10" s="7">
        <v>35</v>
      </c>
      <c r="L10" s="7">
        <v>95</v>
      </c>
      <c r="M10" s="7">
        <v>7.27</v>
      </c>
      <c r="N10" s="7">
        <v>29</v>
      </c>
      <c r="Q10" s="7"/>
      <c r="AA10" t="s">
        <v>196</v>
      </c>
      <c r="AB10" s="6">
        <v>45958.458333333299</v>
      </c>
      <c r="AC10" t="s">
        <v>114</v>
      </c>
      <c r="AD10" t="s">
        <v>115</v>
      </c>
      <c r="AE10" t="s">
        <v>116</v>
      </c>
      <c r="AF10">
        <v>23</v>
      </c>
      <c r="AG10" t="s">
        <v>197</v>
      </c>
      <c r="AH10">
        <v>4</v>
      </c>
      <c r="AJ10" t="s">
        <v>118</v>
      </c>
      <c r="AK10" s="7">
        <v>-2.2999999999999998</v>
      </c>
      <c r="AN10">
        <v>61.37</v>
      </c>
      <c r="AO10">
        <v>9.14</v>
      </c>
      <c r="AP10">
        <v>0.11</v>
      </c>
      <c r="AT10" t="s">
        <v>119</v>
      </c>
      <c r="AU10" t="s">
        <v>143</v>
      </c>
      <c r="AV10" t="s">
        <v>121</v>
      </c>
      <c r="AY10" t="s">
        <v>122</v>
      </c>
      <c r="AZ10" t="s">
        <v>123</v>
      </c>
      <c r="BO10" t="s">
        <v>124</v>
      </c>
      <c r="BP10" t="s">
        <v>125</v>
      </c>
      <c r="BQ10" t="s">
        <v>196</v>
      </c>
      <c r="BR10" t="s">
        <v>196</v>
      </c>
      <c r="BS10" t="s">
        <v>198</v>
      </c>
      <c r="BX10" t="s">
        <v>127</v>
      </c>
      <c r="BY10" t="s">
        <v>128</v>
      </c>
      <c r="BZ10" t="s">
        <v>205</v>
      </c>
      <c r="CA10" t="s">
        <v>196</v>
      </c>
      <c r="CB10" s="7">
        <v>23.2</v>
      </c>
      <c r="CC10">
        <v>23</v>
      </c>
      <c r="CD10" s="7">
        <v>4</v>
      </c>
      <c r="CE10" s="7">
        <v>0.11</v>
      </c>
      <c r="CF10" s="7">
        <v>0.56000000000000005</v>
      </c>
      <c r="CG10" s="7">
        <f t="shared" si="1"/>
        <v>-0.45000000000000007</v>
      </c>
      <c r="CH10" s="7">
        <v>61.37</v>
      </c>
      <c r="CI10" s="7">
        <v>33.33</v>
      </c>
      <c r="CJ10" s="7">
        <v>9.14</v>
      </c>
      <c r="CK10" s="6">
        <v>45958.458333333299</v>
      </c>
      <c r="CL10" t="s">
        <v>5</v>
      </c>
      <c r="CN10" t="s">
        <v>129</v>
      </c>
    </row>
    <row r="11" spans="1:92">
      <c r="A11" t="s">
        <v>206</v>
      </c>
      <c r="B11" s="6">
        <v>45959.395833333299</v>
      </c>
      <c r="C11" s="7">
        <v>213.5</v>
      </c>
      <c r="D11" s="7">
        <v>23</v>
      </c>
      <c r="E11" s="7">
        <v>988.8</v>
      </c>
      <c r="F11" s="7">
        <v>56.97</v>
      </c>
      <c r="H11" s="7">
        <v>2.97</v>
      </c>
      <c r="I11" s="7">
        <f t="shared" si="0"/>
        <v>-1.4400000000000002</v>
      </c>
      <c r="J11" s="7"/>
      <c r="K11" s="7"/>
      <c r="L11" s="7"/>
      <c r="M11" s="7">
        <v>7.68</v>
      </c>
      <c r="N11" s="7">
        <v>10</v>
      </c>
      <c r="Q11" s="7">
        <v>14.2</v>
      </c>
      <c r="AA11" t="s">
        <v>196</v>
      </c>
      <c r="AB11" s="6">
        <v>45959.395833333299</v>
      </c>
      <c r="AC11" t="s">
        <v>114</v>
      </c>
      <c r="AD11" t="s">
        <v>115</v>
      </c>
      <c r="AE11" t="s">
        <v>116</v>
      </c>
      <c r="AF11">
        <v>23</v>
      </c>
      <c r="AG11" t="s">
        <v>197</v>
      </c>
      <c r="AH11">
        <v>4</v>
      </c>
      <c r="AJ11" t="s">
        <v>118</v>
      </c>
      <c r="AK11" s="7">
        <v>-2.2999999999999998</v>
      </c>
      <c r="AN11">
        <v>89.25</v>
      </c>
      <c r="AO11">
        <v>11.19</v>
      </c>
      <c r="AP11">
        <v>1.53</v>
      </c>
      <c r="AT11" t="s">
        <v>119</v>
      </c>
      <c r="AU11" t="s">
        <v>145</v>
      </c>
      <c r="AV11" t="s">
        <v>121</v>
      </c>
      <c r="AY11" t="s">
        <v>122</v>
      </c>
      <c r="AZ11" t="s">
        <v>123</v>
      </c>
      <c r="BO11" t="s">
        <v>124</v>
      </c>
      <c r="BP11" t="s">
        <v>125</v>
      </c>
      <c r="BQ11" t="s">
        <v>196</v>
      </c>
      <c r="BR11" t="s">
        <v>196</v>
      </c>
      <c r="BS11" t="s">
        <v>198</v>
      </c>
      <c r="BX11" t="s">
        <v>127</v>
      </c>
      <c r="BY11" t="s">
        <v>128</v>
      </c>
      <c r="BZ11" t="s">
        <v>206</v>
      </c>
      <c r="CA11" t="s">
        <v>196</v>
      </c>
      <c r="CB11" s="7">
        <v>22.9</v>
      </c>
      <c r="CC11">
        <v>23</v>
      </c>
      <c r="CD11" s="7">
        <v>4</v>
      </c>
      <c r="CE11" s="7">
        <v>1.53</v>
      </c>
      <c r="CF11" s="7">
        <v>2.97</v>
      </c>
      <c r="CG11" s="7">
        <f t="shared" si="1"/>
        <v>-1.4400000000000002</v>
      </c>
      <c r="CH11" s="7">
        <v>89.25</v>
      </c>
      <c r="CI11" s="7">
        <v>50.84</v>
      </c>
      <c r="CJ11" s="7">
        <v>11.19</v>
      </c>
      <c r="CK11" s="6">
        <v>45959.395833333299</v>
      </c>
      <c r="CL11" t="s">
        <v>5</v>
      </c>
      <c r="CN11" t="s">
        <v>129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N10"/>
  <sheetViews>
    <sheetView workbookViewId="0">
      <selection activeCell="A6" sqref="A6:XFD6"/>
    </sheetView>
  </sheetViews>
  <sheetFormatPr baseColWidth="10" defaultColWidth="9" defaultRowHeight="14.25"/>
  <cols>
    <col min="1" max="3" width="18" customWidth="1"/>
    <col min="4" max="92" width="13" customWidth="1"/>
  </cols>
  <sheetData>
    <row r="1" spans="1:92" ht="60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67</v>
      </c>
      <c r="AW1" s="1" t="s">
        <v>68</v>
      </c>
      <c r="AX1" s="1" t="s">
        <v>69</v>
      </c>
      <c r="AY1" s="1" t="s">
        <v>70</v>
      </c>
      <c r="AZ1" s="1" t="s">
        <v>71</v>
      </c>
      <c r="BA1" s="1" t="s">
        <v>72</v>
      </c>
      <c r="BB1" s="1" t="s">
        <v>73</v>
      </c>
      <c r="BC1" s="1" t="s">
        <v>74</v>
      </c>
      <c r="BD1" s="1" t="s">
        <v>75</v>
      </c>
      <c r="BE1" s="1" t="s">
        <v>76</v>
      </c>
      <c r="BF1" s="1" t="s">
        <v>77</v>
      </c>
      <c r="BG1" s="1" t="s">
        <v>78</v>
      </c>
      <c r="BH1" s="1" t="s">
        <v>79</v>
      </c>
      <c r="BI1" s="1" t="s">
        <v>80</v>
      </c>
      <c r="BJ1" s="1" t="s">
        <v>81</v>
      </c>
      <c r="BK1" s="1" t="s">
        <v>82</v>
      </c>
      <c r="BL1" s="1" t="s">
        <v>83</v>
      </c>
      <c r="BM1" s="1" t="s">
        <v>84</v>
      </c>
      <c r="BN1" s="1" t="s">
        <v>85</v>
      </c>
      <c r="BO1" s="1" t="s">
        <v>86</v>
      </c>
      <c r="BP1" s="1" t="s">
        <v>87</v>
      </c>
      <c r="BQ1" s="1" t="s">
        <v>88</v>
      </c>
      <c r="BR1" s="1" t="s">
        <v>89</v>
      </c>
      <c r="BS1" s="1" t="s">
        <v>90</v>
      </c>
      <c r="BT1" s="1" t="s">
        <v>91</v>
      </c>
      <c r="BU1" s="1" t="s">
        <v>92</v>
      </c>
      <c r="BV1" s="1" t="s">
        <v>93</v>
      </c>
      <c r="BW1" s="1" t="s">
        <v>94</v>
      </c>
      <c r="BX1" s="1" t="s">
        <v>95</v>
      </c>
      <c r="BY1" s="1" t="s">
        <v>96</v>
      </c>
      <c r="BZ1" s="1" t="s">
        <v>97</v>
      </c>
      <c r="CA1" s="1" t="s">
        <v>98</v>
      </c>
      <c r="CB1" s="1" t="s">
        <v>99</v>
      </c>
      <c r="CC1" s="1" t="s">
        <v>100</v>
      </c>
      <c r="CD1" s="1" t="s">
        <v>101</v>
      </c>
      <c r="CE1" s="1" t="s">
        <v>102</v>
      </c>
      <c r="CF1" s="1" t="s">
        <v>103</v>
      </c>
      <c r="CG1" s="1" t="s">
        <v>104</v>
      </c>
      <c r="CH1" s="1" t="s">
        <v>105</v>
      </c>
      <c r="CI1" s="1" t="s">
        <v>106</v>
      </c>
      <c r="CJ1" s="1" t="s">
        <v>107</v>
      </c>
      <c r="CK1" s="1" t="s">
        <v>108</v>
      </c>
      <c r="CL1" s="1" t="s">
        <v>109</v>
      </c>
      <c r="CM1" s="1" t="s">
        <v>110</v>
      </c>
      <c r="CN1" s="1" t="s">
        <v>111</v>
      </c>
    </row>
    <row r="2" spans="1:92">
      <c r="A2" t="s">
        <v>207</v>
      </c>
      <c r="B2" s="6">
        <v>45964.5</v>
      </c>
      <c r="C2" s="7">
        <v>0</v>
      </c>
      <c r="D2" s="7">
        <v>19</v>
      </c>
      <c r="E2" s="7">
        <v>1098.4000000000001</v>
      </c>
      <c r="F2" s="7"/>
      <c r="H2" s="7">
        <v>125.07</v>
      </c>
      <c r="I2" s="7">
        <f>IF(OR(CE2="",CF2=""),"",CE2-CF2)</f>
        <v>116.20000000000002</v>
      </c>
      <c r="J2" s="7">
        <v>14</v>
      </c>
      <c r="K2" s="7">
        <v>249</v>
      </c>
      <c r="L2" s="7">
        <v>218</v>
      </c>
      <c r="M2" s="7">
        <v>0.27</v>
      </c>
      <c r="N2" s="7">
        <v>1E-4</v>
      </c>
      <c r="Q2" s="7">
        <v>0</v>
      </c>
      <c r="AA2" t="s">
        <v>208</v>
      </c>
      <c r="AB2" s="6">
        <v>45964.5</v>
      </c>
      <c r="AC2" t="s">
        <v>114</v>
      </c>
      <c r="AD2" t="s">
        <v>115</v>
      </c>
      <c r="AE2" t="s">
        <v>116</v>
      </c>
      <c r="AF2">
        <v>19</v>
      </c>
      <c r="AG2" t="s">
        <v>209</v>
      </c>
      <c r="AH2">
        <v>3</v>
      </c>
      <c r="AJ2" t="s">
        <v>118</v>
      </c>
      <c r="AK2" s="7">
        <v>23.8</v>
      </c>
      <c r="AN2">
        <v>15</v>
      </c>
      <c r="AP2">
        <v>241.27</v>
      </c>
      <c r="AT2" t="s">
        <v>119</v>
      </c>
      <c r="AU2" t="s">
        <v>120</v>
      </c>
      <c r="AV2" t="s">
        <v>121</v>
      </c>
      <c r="AY2" t="s">
        <v>122</v>
      </c>
      <c r="AZ2" t="s">
        <v>123</v>
      </c>
      <c r="BO2" t="s">
        <v>124</v>
      </c>
      <c r="BP2" t="s">
        <v>125</v>
      </c>
      <c r="BQ2" t="s">
        <v>208</v>
      </c>
      <c r="BR2" t="s">
        <v>208</v>
      </c>
      <c r="BS2" t="s">
        <v>210</v>
      </c>
      <c r="BX2" t="s">
        <v>127</v>
      </c>
      <c r="BY2" t="s">
        <v>128</v>
      </c>
      <c r="BZ2" t="s">
        <v>207</v>
      </c>
      <c r="CA2" t="s">
        <v>208</v>
      </c>
      <c r="CB2" s="7">
        <v>19</v>
      </c>
      <c r="CC2">
        <v>19</v>
      </c>
      <c r="CD2" s="7">
        <v>3</v>
      </c>
      <c r="CE2" s="7">
        <v>241.27</v>
      </c>
      <c r="CF2" s="7">
        <v>125.07</v>
      </c>
      <c r="CG2" s="7">
        <f>IF(OR(CE2="",CF2=""),"",CE2-CF2)</f>
        <v>116.20000000000002</v>
      </c>
      <c r="CH2" s="7">
        <v>15</v>
      </c>
      <c r="CI2" s="7"/>
      <c r="CJ2" s="7"/>
      <c r="CK2" s="6">
        <v>45964.5</v>
      </c>
      <c r="CL2" t="s">
        <v>5</v>
      </c>
      <c r="CN2" t="s">
        <v>129</v>
      </c>
    </row>
    <row r="3" spans="1:92">
      <c r="A3" t="s">
        <v>211</v>
      </c>
      <c r="B3" s="6">
        <v>45965.416666666701</v>
      </c>
      <c r="C3" s="7">
        <v>22</v>
      </c>
      <c r="D3" s="7">
        <v>19</v>
      </c>
      <c r="E3" s="7">
        <v>1095.8</v>
      </c>
      <c r="F3" s="7">
        <v>57.41</v>
      </c>
      <c r="H3" s="7">
        <v>116.07</v>
      </c>
      <c r="I3" s="7">
        <f t="shared" ref="I3:I10" si="0">IF(OR(CE3="",CF3=""),"",CE3-CF3)</f>
        <v>115.70000000000002</v>
      </c>
      <c r="J3" s="7">
        <v>61</v>
      </c>
      <c r="K3" s="7">
        <v>246</v>
      </c>
      <c r="L3" s="7">
        <v>263</v>
      </c>
      <c r="M3" s="7">
        <v>0.88</v>
      </c>
      <c r="N3" s="7">
        <v>22</v>
      </c>
      <c r="Q3" s="7"/>
      <c r="AA3" t="s">
        <v>208</v>
      </c>
      <c r="AB3" s="6">
        <v>45965.416666666701</v>
      </c>
      <c r="AC3" t="s">
        <v>114</v>
      </c>
      <c r="AD3" t="s">
        <v>115</v>
      </c>
      <c r="AE3" t="s">
        <v>116</v>
      </c>
      <c r="AF3">
        <v>19</v>
      </c>
      <c r="AG3" t="s">
        <v>209</v>
      </c>
      <c r="AH3">
        <v>3</v>
      </c>
      <c r="AJ3" t="s">
        <v>118</v>
      </c>
      <c r="AK3" s="7">
        <v>23.2</v>
      </c>
      <c r="AN3">
        <v>26.69</v>
      </c>
      <c r="AO3">
        <v>20</v>
      </c>
      <c r="AP3">
        <v>231.77</v>
      </c>
      <c r="AT3" t="s">
        <v>119</v>
      </c>
      <c r="AU3" t="s">
        <v>131</v>
      </c>
      <c r="AV3" t="s">
        <v>121</v>
      </c>
      <c r="AY3" t="s">
        <v>122</v>
      </c>
      <c r="AZ3" t="s">
        <v>123</v>
      </c>
      <c r="BO3" t="s">
        <v>124</v>
      </c>
      <c r="BP3" t="s">
        <v>125</v>
      </c>
      <c r="BQ3" t="s">
        <v>208</v>
      </c>
      <c r="BR3" t="s">
        <v>208</v>
      </c>
      <c r="BS3" t="s">
        <v>210</v>
      </c>
      <c r="BX3" t="s">
        <v>127</v>
      </c>
      <c r="BY3" t="s">
        <v>128</v>
      </c>
      <c r="BZ3" t="s">
        <v>211</v>
      </c>
      <c r="CA3" t="s">
        <v>208</v>
      </c>
      <c r="CB3" s="7">
        <v>18.8</v>
      </c>
      <c r="CC3">
        <v>19</v>
      </c>
      <c r="CD3" s="7">
        <v>3</v>
      </c>
      <c r="CE3" s="7">
        <v>231.77</v>
      </c>
      <c r="CF3" s="7">
        <v>116.07</v>
      </c>
      <c r="CG3" s="7">
        <f t="shared" ref="CG3:CG10" si="1">IF(OR(CE3="",CF3=""),"",CE3-CF3)</f>
        <v>115.70000000000002</v>
      </c>
      <c r="CH3" s="7">
        <v>26.69</v>
      </c>
      <c r="CI3" s="7">
        <v>15.324999999999999</v>
      </c>
      <c r="CJ3" s="7">
        <v>20</v>
      </c>
      <c r="CK3" s="6">
        <v>45965.416666666701</v>
      </c>
      <c r="CL3" t="s">
        <v>5</v>
      </c>
      <c r="CN3" t="s">
        <v>129</v>
      </c>
    </row>
    <row r="4" spans="1:92">
      <c r="A4" t="s">
        <v>212</v>
      </c>
      <c r="B4" s="6">
        <v>45966.375</v>
      </c>
      <c r="C4" s="7">
        <v>45</v>
      </c>
      <c r="D4" s="7">
        <v>19</v>
      </c>
      <c r="E4" s="7">
        <v>1083.0999999999999</v>
      </c>
      <c r="F4" s="7">
        <v>63.88</v>
      </c>
      <c r="H4" s="7">
        <v>96.42</v>
      </c>
      <c r="I4" s="7">
        <f t="shared" si="0"/>
        <v>104.85000000000001</v>
      </c>
      <c r="J4" s="7">
        <v>24</v>
      </c>
      <c r="K4" s="7">
        <v>168</v>
      </c>
      <c r="L4" s="7">
        <v>162</v>
      </c>
      <c r="M4" s="7">
        <v>2.83</v>
      </c>
      <c r="N4" s="7">
        <v>64</v>
      </c>
      <c r="Q4" s="7"/>
      <c r="AA4" t="s">
        <v>208</v>
      </c>
      <c r="AB4" s="6">
        <v>45966.375</v>
      </c>
      <c r="AC4" t="s">
        <v>114</v>
      </c>
      <c r="AD4" t="s">
        <v>115</v>
      </c>
      <c r="AE4" t="s">
        <v>116</v>
      </c>
      <c r="AF4">
        <v>19</v>
      </c>
      <c r="AG4" t="s">
        <v>209</v>
      </c>
      <c r="AH4">
        <v>3</v>
      </c>
      <c r="AJ4" t="s">
        <v>118</v>
      </c>
      <c r="AK4" s="7">
        <v>20.399999999999999</v>
      </c>
      <c r="AN4">
        <v>49.54</v>
      </c>
      <c r="AO4">
        <v>24.65</v>
      </c>
      <c r="AP4">
        <v>201.27</v>
      </c>
      <c r="AT4" t="s">
        <v>119</v>
      </c>
      <c r="AU4" t="s">
        <v>133</v>
      </c>
      <c r="AV4" t="s">
        <v>121</v>
      </c>
      <c r="AY4" t="s">
        <v>122</v>
      </c>
      <c r="AZ4" t="s">
        <v>123</v>
      </c>
      <c r="BO4" t="s">
        <v>124</v>
      </c>
      <c r="BP4" t="s">
        <v>125</v>
      </c>
      <c r="BQ4" t="s">
        <v>208</v>
      </c>
      <c r="BR4" t="s">
        <v>208</v>
      </c>
      <c r="BS4" t="s">
        <v>210</v>
      </c>
      <c r="BX4" t="s">
        <v>127</v>
      </c>
      <c r="BY4" t="s">
        <v>128</v>
      </c>
      <c r="BZ4" t="s">
        <v>212</v>
      </c>
      <c r="CA4" t="s">
        <v>208</v>
      </c>
      <c r="CB4" s="7">
        <v>19.100000000000001</v>
      </c>
      <c r="CC4">
        <v>19</v>
      </c>
      <c r="CD4" s="7">
        <v>3</v>
      </c>
      <c r="CE4" s="7">
        <v>201.27</v>
      </c>
      <c r="CF4" s="7">
        <v>96.42</v>
      </c>
      <c r="CG4" s="7">
        <f t="shared" si="1"/>
        <v>104.85000000000001</v>
      </c>
      <c r="CH4" s="7">
        <v>49.54</v>
      </c>
      <c r="CI4" s="7">
        <v>31.64</v>
      </c>
      <c r="CJ4" s="7">
        <v>24.65</v>
      </c>
      <c r="CK4" s="6">
        <v>45966.375</v>
      </c>
      <c r="CL4" t="s">
        <v>5</v>
      </c>
      <c r="CN4" t="s">
        <v>129</v>
      </c>
    </row>
    <row r="5" spans="1:92">
      <c r="A5" t="s">
        <v>213</v>
      </c>
      <c r="B5" s="6">
        <v>45967.375</v>
      </c>
      <c r="C5" s="7">
        <v>69</v>
      </c>
      <c r="D5" s="7">
        <v>19</v>
      </c>
      <c r="E5" s="7">
        <v>1063.3</v>
      </c>
      <c r="F5" s="7">
        <v>76.069999999999993</v>
      </c>
      <c r="H5" s="7">
        <v>52.17</v>
      </c>
      <c r="I5" s="7">
        <f t="shared" si="0"/>
        <v>71.3</v>
      </c>
      <c r="J5" s="7">
        <v>13</v>
      </c>
      <c r="K5" s="7">
        <v>29</v>
      </c>
      <c r="L5" s="7">
        <v>36</v>
      </c>
      <c r="M5" s="7">
        <v>4.03</v>
      </c>
      <c r="N5" s="7">
        <v>58</v>
      </c>
      <c r="Q5" s="7"/>
      <c r="AA5" t="s">
        <v>208</v>
      </c>
      <c r="AB5" s="6">
        <v>45967.375</v>
      </c>
      <c r="AC5" t="s">
        <v>114</v>
      </c>
      <c r="AD5" t="s">
        <v>115</v>
      </c>
      <c r="AE5" t="s">
        <v>116</v>
      </c>
      <c r="AF5">
        <v>19</v>
      </c>
      <c r="AG5" t="s">
        <v>209</v>
      </c>
      <c r="AH5">
        <v>3</v>
      </c>
      <c r="AJ5" t="s">
        <v>118</v>
      </c>
      <c r="AK5" s="7">
        <v>15.9</v>
      </c>
      <c r="AN5">
        <v>71.89</v>
      </c>
      <c r="AO5">
        <v>20.73</v>
      </c>
      <c r="AP5">
        <v>123.47</v>
      </c>
      <c r="AT5" t="s">
        <v>119</v>
      </c>
      <c r="AU5" t="s">
        <v>135</v>
      </c>
      <c r="AV5" t="s">
        <v>121</v>
      </c>
      <c r="AY5" t="s">
        <v>122</v>
      </c>
      <c r="AZ5" t="s">
        <v>123</v>
      </c>
      <c r="BO5" t="s">
        <v>124</v>
      </c>
      <c r="BP5" t="s">
        <v>125</v>
      </c>
      <c r="BQ5" t="s">
        <v>208</v>
      </c>
      <c r="BR5" t="s">
        <v>208</v>
      </c>
      <c r="BS5" t="s">
        <v>210</v>
      </c>
      <c r="BX5" t="s">
        <v>127</v>
      </c>
      <c r="BY5" t="s">
        <v>128</v>
      </c>
      <c r="BZ5" t="s">
        <v>213</v>
      </c>
      <c r="CA5" t="s">
        <v>208</v>
      </c>
      <c r="CB5" s="7">
        <v>19.2</v>
      </c>
      <c r="CC5">
        <v>19</v>
      </c>
      <c r="CD5" s="7">
        <v>3</v>
      </c>
      <c r="CE5" s="7">
        <v>123.47</v>
      </c>
      <c r="CF5" s="7">
        <v>52.17</v>
      </c>
      <c r="CG5" s="7">
        <f t="shared" si="1"/>
        <v>71.3</v>
      </c>
      <c r="CH5" s="7">
        <v>71.89</v>
      </c>
      <c r="CI5" s="7">
        <v>54.69</v>
      </c>
      <c r="CJ5" s="7">
        <v>20.73</v>
      </c>
      <c r="CK5" s="6">
        <v>45967.375</v>
      </c>
      <c r="CL5" t="s">
        <v>5</v>
      </c>
      <c r="CN5" t="s">
        <v>129</v>
      </c>
    </row>
    <row r="6" spans="1:92">
      <c r="A6" t="s">
        <v>304</v>
      </c>
      <c r="B6" s="6">
        <f>B2+3</f>
        <v>45967.5</v>
      </c>
      <c r="C6" s="7">
        <v>72</v>
      </c>
      <c r="D6" s="7"/>
      <c r="E6" s="7"/>
      <c r="F6" s="7"/>
      <c r="H6" s="7"/>
      <c r="I6" s="7"/>
      <c r="J6" s="7"/>
      <c r="K6" s="7"/>
      <c r="L6" s="7"/>
      <c r="M6" s="7"/>
      <c r="N6" s="7"/>
      <c r="Q6" s="7"/>
      <c r="R6">
        <v>100</v>
      </c>
      <c r="AB6" s="6"/>
      <c r="AK6" s="7"/>
      <c r="CB6" s="7"/>
      <c r="CD6" s="7"/>
      <c r="CE6" s="7"/>
      <c r="CF6" s="7"/>
      <c r="CG6" s="7"/>
      <c r="CH6" s="7"/>
      <c r="CI6" s="7"/>
      <c r="CJ6" s="7"/>
      <c r="CK6" s="6"/>
    </row>
    <row r="7" spans="1:92">
      <c r="A7" t="s">
        <v>214</v>
      </c>
      <c r="B7" s="6">
        <v>45968.395833333299</v>
      </c>
      <c r="C7" s="7">
        <v>93.5</v>
      </c>
      <c r="D7" s="7">
        <v>19</v>
      </c>
      <c r="E7" s="7">
        <v>1043.5999999999999</v>
      </c>
      <c r="F7" s="7">
        <v>66.81</v>
      </c>
      <c r="H7" s="7">
        <v>39.799999999999997</v>
      </c>
      <c r="I7" s="7">
        <f t="shared" si="0"/>
        <v>74.94</v>
      </c>
      <c r="J7" s="7">
        <v>68</v>
      </c>
      <c r="K7" s="7">
        <v>61</v>
      </c>
      <c r="L7" s="7">
        <v>118</v>
      </c>
      <c r="M7" s="7">
        <v>6.39</v>
      </c>
      <c r="N7" s="7">
        <v>62</v>
      </c>
      <c r="Q7" s="7">
        <v>7.13</v>
      </c>
      <c r="AA7" t="s">
        <v>208</v>
      </c>
      <c r="AB7" s="6">
        <v>45968.395833333299</v>
      </c>
      <c r="AC7" t="s">
        <v>114</v>
      </c>
      <c r="AD7" t="s">
        <v>115</v>
      </c>
      <c r="AE7" t="s">
        <v>116</v>
      </c>
      <c r="AF7">
        <v>19</v>
      </c>
      <c r="AG7" t="s">
        <v>209</v>
      </c>
      <c r="AH7">
        <v>3</v>
      </c>
      <c r="AJ7" t="s">
        <v>118</v>
      </c>
      <c r="AK7" s="7">
        <v>11.4</v>
      </c>
      <c r="AN7">
        <v>69.66</v>
      </c>
      <c r="AO7">
        <v>15.33</v>
      </c>
      <c r="AP7">
        <v>114.74</v>
      </c>
      <c r="AT7" t="s">
        <v>119</v>
      </c>
      <c r="AU7" t="s">
        <v>137</v>
      </c>
      <c r="AV7" t="s">
        <v>121</v>
      </c>
      <c r="AY7" t="s">
        <v>122</v>
      </c>
      <c r="AZ7" t="s">
        <v>123</v>
      </c>
      <c r="BO7" t="s">
        <v>124</v>
      </c>
      <c r="BP7" t="s">
        <v>125</v>
      </c>
      <c r="BQ7" t="s">
        <v>208</v>
      </c>
      <c r="BR7" t="s">
        <v>208</v>
      </c>
      <c r="BS7" t="s">
        <v>210</v>
      </c>
      <c r="BX7" t="s">
        <v>127</v>
      </c>
      <c r="BY7" t="s">
        <v>128</v>
      </c>
      <c r="BZ7" t="s">
        <v>214</v>
      </c>
      <c r="CA7" t="s">
        <v>208</v>
      </c>
      <c r="CB7" s="7">
        <v>20.6</v>
      </c>
      <c r="CC7">
        <v>19</v>
      </c>
      <c r="CD7" s="7">
        <v>3</v>
      </c>
      <c r="CE7" s="7">
        <v>114.74</v>
      </c>
      <c r="CF7" s="7">
        <v>39.799999999999997</v>
      </c>
      <c r="CG7" s="7">
        <f t="shared" si="1"/>
        <v>74.94</v>
      </c>
      <c r="CH7" s="7">
        <v>69.66</v>
      </c>
      <c r="CI7" s="7">
        <v>46.54</v>
      </c>
      <c r="CJ7" s="7">
        <v>15.33</v>
      </c>
      <c r="CK7" s="6">
        <v>45968.395833333299</v>
      </c>
      <c r="CL7" t="s">
        <v>5</v>
      </c>
      <c r="CN7" t="s">
        <v>129</v>
      </c>
    </row>
    <row r="8" spans="1:92">
      <c r="A8" t="s">
        <v>215</v>
      </c>
      <c r="B8" s="6">
        <v>45971.395833333299</v>
      </c>
      <c r="C8" s="7">
        <v>165.5</v>
      </c>
      <c r="D8" s="7">
        <v>19</v>
      </c>
      <c r="E8" s="7">
        <v>1006.1</v>
      </c>
      <c r="F8" s="7">
        <v>72.83</v>
      </c>
      <c r="H8" s="7">
        <v>4.42</v>
      </c>
      <c r="I8" s="7">
        <f t="shared" si="0"/>
        <v>29.629999999999995</v>
      </c>
      <c r="J8" s="7">
        <v>73</v>
      </c>
      <c r="K8" s="7">
        <v>24</v>
      </c>
      <c r="L8" s="7">
        <v>92</v>
      </c>
      <c r="M8" s="7">
        <v>7.15</v>
      </c>
      <c r="N8" s="7">
        <v>29</v>
      </c>
      <c r="Q8" s="7">
        <v>12.15</v>
      </c>
      <c r="AA8" t="s">
        <v>208</v>
      </c>
      <c r="AB8" s="6">
        <v>45971.395833333299</v>
      </c>
      <c r="AC8" t="s">
        <v>114</v>
      </c>
      <c r="AD8" t="s">
        <v>115</v>
      </c>
      <c r="AE8" t="s">
        <v>116</v>
      </c>
      <c r="AF8">
        <v>19</v>
      </c>
      <c r="AG8" t="s">
        <v>209</v>
      </c>
      <c r="AH8">
        <v>3</v>
      </c>
      <c r="AJ8" t="s">
        <v>118</v>
      </c>
      <c r="AK8" s="7">
        <v>2.1</v>
      </c>
      <c r="AN8">
        <v>91.32</v>
      </c>
      <c r="AO8">
        <v>13.2</v>
      </c>
      <c r="AP8">
        <v>34.049999999999997</v>
      </c>
      <c r="AT8" t="s">
        <v>119</v>
      </c>
      <c r="AU8" t="s">
        <v>139</v>
      </c>
      <c r="AV8" t="s">
        <v>121</v>
      </c>
      <c r="AY8" t="s">
        <v>122</v>
      </c>
      <c r="AZ8" t="s">
        <v>123</v>
      </c>
      <c r="BO8" t="s">
        <v>124</v>
      </c>
      <c r="BP8" t="s">
        <v>125</v>
      </c>
      <c r="BQ8" t="s">
        <v>208</v>
      </c>
      <c r="BR8" t="s">
        <v>208</v>
      </c>
      <c r="BS8" t="s">
        <v>210</v>
      </c>
      <c r="BX8" t="s">
        <v>127</v>
      </c>
      <c r="BY8" t="s">
        <v>128</v>
      </c>
      <c r="BZ8" t="s">
        <v>215</v>
      </c>
      <c r="CA8" t="s">
        <v>208</v>
      </c>
      <c r="CB8" s="7">
        <v>20.7</v>
      </c>
      <c r="CC8">
        <v>19</v>
      </c>
      <c r="CD8" s="7">
        <v>3</v>
      </c>
      <c r="CE8" s="7">
        <v>34.049999999999997</v>
      </c>
      <c r="CF8" s="7">
        <v>4.42</v>
      </c>
      <c r="CG8" s="7">
        <f t="shared" si="1"/>
        <v>29.629999999999995</v>
      </c>
      <c r="CH8" s="7">
        <v>91.32</v>
      </c>
      <c r="CI8" s="7">
        <v>66.510000000000005</v>
      </c>
      <c r="CJ8" s="7">
        <v>13.2</v>
      </c>
      <c r="CK8" s="6">
        <v>45971.395833333299</v>
      </c>
      <c r="CL8" t="s">
        <v>5</v>
      </c>
      <c r="CN8" t="s">
        <v>129</v>
      </c>
    </row>
    <row r="9" spans="1:92">
      <c r="A9" t="s">
        <v>216</v>
      </c>
      <c r="B9" s="6">
        <v>45972.479166666701</v>
      </c>
      <c r="C9" s="7">
        <v>191.5</v>
      </c>
      <c r="D9" s="7">
        <v>19</v>
      </c>
      <c r="E9" s="7">
        <v>990</v>
      </c>
      <c r="F9" s="7">
        <v>73.53</v>
      </c>
      <c r="H9" s="7">
        <v>1.79</v>
      </c>
      <c r="I9" s="7">
        <f t="shared" si="0"/>
        <v>16.41</v>
      </c>
      <c r="J9" s="7">
        <v>65</v>
      </c>
      <c r="K9" s="7">
        <v>26</v>
      </c>
      <c r="L9" s="7">
        <v>86</v>
      </c>
      <c r="M9" s="7">
        <v>7.79</v>
      </c>
      <c r="N9" s="7">
        <v>27</v>
      </c>
      <c r="Q9" s="7"/>
      <c r="AA9" t="s">
        <v>208</v>
      </c>
      <c r="AB9" s="6">
        <v>45972.479166666701</v>
      </c>
      <c r="AC9" t="s">
        <v>114</v>
      </c>
      <c r="AD9" t="s">
        <v>115</v>
      </c>
      <c r="AE9" t="s">
        <v>116</v>
      </c>
      <c r="AF9">
        <v>19</v>
      </c>
      <c r="AG9" t="s">
        <v>209</v>
      </c>
      <c r="AH9">
        <v>3</v>
      </c>
      <c r="AJ9" t="s">
        <v>118</v>
      </c>
      <c r="AK9" s="7">
        <v>0.2</v>
      </c>
      <c r="AN9">
        <v>116.05</v>
      </c>
      <c r="AO9">
        <v>10.85</v>
      </c>
      <c r="AP9">
        <v>18.2</v>
      </c>
      <c r="AT9" t="s">
        <v>119</v>
      </c>
      <c r="AU9" t="s">
        <v>141</v>
      </c>
      <c r="AV9" t="s">
        <v>121</v>
      </c>
      <c r="AY9" t="s">
        <v>122</v>
      </c>
      <c r="AZ9" t="s">
        <v>123</v>
      </c>
      <c r="BO9" t="s">
        <v>124</v>
      </c>
      <c r="BP9" t="s">
        <v>125</v>
      </c>
      <c r="BQ9" t="s">
        <v>208</v>
      </c>
      <c r="BR9" t="s">
        <v>208</v>
      </c>
      <c r="BS9" t="s">
        <v>210</v>
      </c>
      <c r="BX9" t="s">
        <v>127</v>
      </c>
      <c r="BY9" t="s">
        <v>128</v>
      </c>
      <c r="BZ9" t="s">
        <v>216</v>
      </c>
      <c r="CA9" t="s">
        <v>208</v>
      </c>
      <c r="CB9" s="7">
        <v>19.2</v>
      </c>
      <c r="CC9">
        <v>19</v>
      </c>
      <c r="CD9" s="7">
        <v>3</v>
      </c>
      <c r="CE9" s="7">
        <v>18.2</v>
      </c>
      <c r="CF9" s="7">
        <v>1.79</v>
      </c>
      <c r="CG9" s="7">
        <f t="shared" si="1"/>
        <v>16.41</v>
      </c>
      <c r="CH9" s="7">
        <v>116.05</v>
      </c>
      <c r="CI9" s="7">
        <v>85.33</v>
      </c>
      <c r="CJ9" s="7">
        <v>10.85</v>
      </c>
      <c r="CK9" s="6">
        <v>45972.479166666701</v>
      </c>
      <c r="CL9" t="s">
        <v>5</v>
      </c>
      <c r="CN9" t="s">
        <v>129</v>
      </c>
    </row>
    <row r="10" spans="1:92">
      <c r="A10" t="s">
        <v>217</v>
      </c>
      <c r="B10" s="6">
        <v>45973.375</v>
      </c>
      <c r="C10" s="7">
        <v>213</v>
      </c>
      <c r="D10" s="7">
        <v>19</v>
      </c>
      <c r="E10" s="7">
        <v>993.9</v>
      </c>
      <c r="F10" s="7">
        <v>67.209999999999994</v>
      </c>
      <c r="H10" s="7">
        <v>1.0900000000000001</v>
      </c>
      <c r="I10" s="7">
        <f t="shared" si="0"/>
        <v>8.43</v>
      </c>
      <c r="J10" s="7">
        <v>66</v>
      </c>
      <c r="K10" s="7">
        <v>29</v>
      </c>
      <c r="L10" s="7">
        <v>90</v>
      </c>
      <c r="M10" s="7">
        <v>8.08</v>
      </c>
      <c r="N10" s="7">
        <v>19</v>
      </c>
      <c r="Q10" s="7">
        <v>13.9</v>
      </c>
      <c r="AA10" t="s">
        <v>208</v>
      </c>
      <c r="AB10" s="6">
        <v>45973.375</v>
      </c>
      <c r="AC10" t="s">
        <v>114</v>
      </c>
      <c r="AD10" t="s">
        <v>115</v>
      </c>
      <c r="AE10" t="s">
        <v>116</v>
      </c>
      <c r="AF10">
        <v>19</v>
      </c>
      <c r="AG10" t="s">
        <v>209</v>
      </c>
      <c r="AH10">
        <v>3</v>
      </c>
      <c r="AJ10" t="s">
        <v>118</v>
      </c>
      <c r="AK10" s="7">
        <v>-1.1000000000000001</v>
      </c>
      <c r="AN10">
        <v>85.25</v>
      </c>
      <c r="AO10">
        <v>11.89</v>
      </c>
      <c r="AP10">
        <v>9.52</v>
      </c>
      <c r="AT10" t="s">
        <v>119</v>
      </c>
      <c r="AU10" t="s">
        <v>143</v>
      </c>
      <c r="AV10" t="s">
        <v>121</v>
      </c>
      <c r="AY10" t="s">
        <v>122</v>
      </c>
      <c r="AZ10" t="s">
        <v>123</v>
      </c>
      <c r="BO10" t="s">
        <v>124</v>
      </c>
      <c r="BP10" t="s">
        <v>125</v>
      </c>
      <c r="BQ10" t="s">
        <v>208</v>
      </c>
      <c r="BR10" t="s">
        <v>208</v>
      </c>
      <c r="BS10" t="s">
        <v>210</v>
      </c>
      <c r="BX10" t="s">
        <v>127</v>
      </c>
      <c r="BY10" t="s">
        <v>128</v>
      </c>
      <c r="BZ10" t="s">
        <v>217</v>
      </c>
      <c r="CA10" t="s">
        <v>208</v>
      </c>
      <c r="CB10" s="7">
        <v>20.6</v>
      </c>
      <c r="CC10">
        <v>19</v>
      </c>
      <c r="CD10" s="7">
        <v>3</v>
      </c>
      <c r="CE10" s="7">
        <v>9.52</v>
      </c>
      <c r="CF10" s="7">
        <v>1.0900000000000001</v>
      </c>
      <c r="CG10" s="7">
        <f t="shared" si="1"/>
        <v>8.43</v>
      </c>
      <c r="CH10" s="7">
        <v>85.25</v>
      </c>
      <c r="CI10" s="7">
        <v>57.3</v>
      </c>
      <c r="CJ10" s="7">
        <v>11.89</v>
      </c>
      <c r="CK10" s="6">
        <v>45973.375</v>
      </c>
      <c r="CL10" t="s">
        <v>5</v>
      </c>
      <c r="CN10" t="s">
        <v>129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10"/>
  <sheetViews>
    <sheetView workbookViewId="0">
      <selection activeCell="A6" sqref="A6:XFD6"/>
    </sheetView>
  </sheetViews>
  <sheetFormatPr baseColWidth="10" defaultColWidth="9" defaultRowHeight="14.25"/>
  <cols>
    <col min="1" max="3" width="18" customWidth="1"/>
    <col min="4" max="92" width="13" customWidth="1"/>
  </cols>
  <sheetData>
    <row r="1" spans="1:92" ht="60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67</v>
      </c>
      <c r="AW1" s="1" t="s">
        <v>68</v>
      </c>
      <c r="AX1" s="1" t="s">
        <v>69</v>
      </c>
      <c r="AY1" s="1" t="s">
        <v>70</v>
      </c>
      <c r="AZ1" s="1" t="s">
        <v>71</v>
      </c>
      <c r="BA1" s="1" t="s">
        <v>72</v>
      </c>
      <c r="BB1" s="1" t="s">
        <v>73</v>
      </c>
      <c r="BC1" s="1" t="s">
        <v>74</v>
      </c>
      <c r="BD1" s="1" t="s">
        <v>75</v>
      </c>
      <c r="BE1" s="1" t="s">
        <v>76</v>
      </c>
      <c r="BF1" s="1" t="s">
        <v>77</v>
      </c>
      <c r="BG1" s="1" t="s">
        <v>78</v>
      </c>
      <c r="BH1" s="1" t="s">
        <v>79</v>
      </c>
      <c r="BI1" s="1" t="s">
        <v>80</v>
      </c>
      <c r="BJ1" s="1" t="s">
        <v>81</v>
      </c>
      <c r="BK1" s="1" t="s">
        <v>82</v>
      </c>
      <c r="BL1" s="1" t="s">
        <v>83</v>
      </c>
      <c r="BM1" s="1" t="s">
        <v>84</v>
      </c>
      <c r="BN1" s="1" t="s">
        <v>85</v>
      </c>
      <c r="BO1" s="1" t="s">
        <v>86</v>
      </c>
      <c r="BP1" s="1" t="s">
        <v>87</v>
      </c>
      <c r="BQ1" s="1" t="s">
        <v>88</v>
      </c>
      <c r="BR1" s="1" t="s">
        <v>89</v>
      </c>
      <c r="BS1" s="1" t="s">
        <v>90</v>
      </c>
      <c r="BT1" s="1" t="s">
        <v>91</v>
      </c>
      <c r="BU1" s="1" t="s">
        <v>92</v>
      </c>
      <c r="BV1" s="1" t="s">
        <v>93</v>
      </c>
      <c r="BW1" s="1" t="s">
        <v>94</v>
      </c>
      <c r="BX1" s="1" t="s">
        <v>95</v>
      </c>
      <c r="BY1" s="1" t="s">
        <v>96</v>
      </c>
      <c r="BZ1" s="1" t="s">
        <v>97</v>
      </c>
      <c r="CA1" s="1" t="s">
        <v>98</v>
      </c>
      <c r="CB1" s="1" t="s">
        <v>99</v>
      </c>
      <c r="CC1" s="1" t="s">
        <v>100</v>
      </c>
      <c r="CD1" s="1" t="s">
        <v>101</v>
      </c>
      <c r="CE1" s="1" t="s">
        <v>102</v>
      </c>
      <c r="CF1" s="1" t="s">
        <v>103</v>
      </c>
      <c r="CG1" s="1" t="s">
        <v>104</v>
      </c>
      <c r="CH1" s="1" t="s">
        <v>105</v>
      </c>
      <c r="CI1" s="1" t="s">
        <v>106</v>
      </c>
      <c r="CJ1" s="1" t="s">
        <v>107</v>
      </c>
      <c r="CK1" s="1" t="s">
        <v>108</v>
      </c>
      <c r="CL1" s="1" t="s">
        <v>109</v>
      </c>
      <c r="CM1" s="1" t="s">
        <v>110</v>
      </c>
      <c r="CN1" s="1" t="s">
        <v>111</v>
      </c>
    </row>
    <row r="2" spans="1:92">
      <c r="A2" t="s">
        <v>218</v>
      </c>
      <c r="B2" s="6">
        <v>45964.5</v>
      </c>
      <c r="C2" s="7">
        <v>0</v>
      </c>
      <c r="D2" s="7">
        <v>19</v>
      </c>
      <c r="E2" s="7">
        <v>1101.2</v>
      </c>
      <c r="F2" s="7"/>
      <c r="H2" s="7">
        <v>127.15</v>
      </c>
      <c r="I2" s="7">
        <f>IF(OR(CE2="",CF2=""),"",CE2-CF2)</f>
        <v>126.5</v>
      </c>
      <c r="J2" s="7">
        <v>15</v>
      </c>
      <c r="K2" s="7">
        <v>257</v>
      </c>
      <c r="L2" s="7">
        <v>226</v>
      </c>
      <c r="M2" s="7">
        <v>0.21</v>
      </c>
      <c r="N2" s="7">
        <v>10</v>
      </c>
      <c r="Q2" s="7">
        <v>0</v>
      </c>
      <c r="AA2" t="s">
        <v>219</v>
      </c>
      <c r="AB2" s="6">
        <v>45964.5</v>
      </c>
      <c r="AC2" t="s">
        <v>114</v>
      </c>
      <c r="AD2" t="s">
        <v>115</v>
      </c>
      <c r="AE2" t="s">
        <v>116</v>
      </c>
      <c r="AF2">
        <v>19</v>
      </c>
      <c r="AG2" t="s">
        <v>209</v>
      </c>
      <c r="AH2">
        <v>3</v>
      </c>
      <c r="AJ2" t="s">
        <v>118</v>
      </c>
      <c r="AK2" s="7">
        <v>24.4</v>
      </c>
      <c r="AN2">
        <v>15</v>
      </c>
      <c r="AP2">
        <v>253.65</v>
      </c>
      <c r="AT2" t="s">
        <v>119</v>
      </c>
      <c r="AU2" t="s">
        <v>120</v>
      </c>
      <c r="AV2" t="s">
        <v>121</v>
      </c>
      <c r="AY2" t="s">
        <v>122</v>
      </c>
      <c r="AZ2" t="s">
        <v>123</v>
      </c>
      <c r="BO2" t="s">
        <v>124</v>
      </c>
      <c r="BP2" t="s">
        <v>125</v>
      </c>
      <c r="BQ2" t="s">
        <v>219</v>
      </c>
      <c r="BR2" t="s">
        <v>219</v>
      </c>
      <c r="BS2" t="s">
        <v>210</v>
      </c>
      <c r="BX2" t="s">
        <v>127</v>
      </c>
      <c r="BY2" t="s">
        <v>128</v>
      </c>
      <c r="BZ2" t="s">
        <v>218</v>
      </c>
      <c r="CA2" t="s">
        <v>219</v>
      </c>
      <c r="CB2" s="7">
        <v>19.100000000000001</v>
      </c>
      <c r="CC2">
        <v>19</v>
      </c>
      <c r="CD2" s="7">
        <v>3</v>
      </c>
      <c r="CE2" s="7">
        <v>253.65</v>
      </c>
      <c r="CF2" s="7">
        <v>127.15</v>
      </c>
      <c r="CG2" s="7">
        <f>IF(OR(CE2="",CF2=""),"",CE2-CF2)</f>
        <v>126.5</v>
      </c>
      <c r="CH2" s="7">
        <v>15</v>
      </c>
      <c r="CI2" s="7"/>
      <c r="CJ2" s="7"/>
      <c r="CK2" s="6">
        <v>45964.5</v>
      </c>
      <c r="CL2" t="s">
        <v>5</v>
      </c>
      <c r="CN2" t="s">
        <v>129</v>
      </c>
    </row>
    <row r="3" spans="1:92">
      <c r="A3" t="s">
        <v>220</v>
      </c>
      <c r="B3" s="6">
        <v>45965.416666666701</v>
      </c>
      <c r="C3" s="7">
        <v>22</v>
      </c>
      <c r="D3" s="7">
        <v>19</v>
      </c>
      <c r="E3" s="7">
        <v>1099.0999999999999</v>
      </c>
      <c r="F3" s="7">
        <v>57.67</v>
      </c>
      <c r="H3" s="7">
        <v>121.23</v>
      </c>
      <c r="I3" s="7">
        <f t="shared" ref="I3:I10" si="0">IF(OR(CE3="",CF3=""),"",CE3-CF3)</f>
        <v>120.88000000000001</v>
      </c>
      <c r="J3" s="7">
        <v>65</v>
      </c>
      <c r="K3" s="7">
        <v>256</v>
      </c>
      <c r="L3" s="7">
        <v>275</v>
      </c>
      <c r="M3" s="7">
        <v>0.95</v>
      </c>
      <c r="N3" s="7">
        <v>22</v>
      </c>
      <c r="Q3" s="7"/>
      <c r="AA3" t="s">
        <v>219</v>
      </c>
      <c r="AB3" s="6">
        <v>45965.416666666701</v>
      </c>
      <c r="AC3" t="s">
        <v>114</v>
      </c>
      <c r="AD3" t="s">
        <v>115</v>
      </c>
      <c r="AE3" t="s">
        <v>116</v>
      </c>
      <c r="AF3">
        <v>19</v>
      </c>
      <c r="AG3" t="s">
        <v>209</v>
      </c>
      <c r="AH3">
        <v>3</v>
      </c>
      <c r="AJ3" t="s">
        <v>118</v>
      </c>
      <c r="AK3" s="7">
        <v>23.9</v>
      </c>
      <c r="AN3">
        <v>28.035</v>
      </c>
      <c r="AO3">
        <v>16.440000000000001</v>
      </c>
      <c r="AP3">
        <v>242.11</v>
      </c>
      <c r="AT3" t="s">
        <v>119</v>
      </c>
      <c r="AU3" t="s">
        <v>131</v>
      </c>
      <c r="AV3" t="s">
        <v>121</v>
      </c>
      <c r="AY3" t="s">
        <v>122</v>
      </c>
      <c r="AZ3" t="s">
        <v>123</v>
      </c>
      <c r="BO3" t="s">
        <v>124</v>
      </c>
      <c r="BP3" t="s">
        <v>125</v>
      </c>
      <c r="BQ3" t="s">
        <v>219</v>
      </c>
      <c r="BR3" t="s">
        <v>219</v>
      </c>
      <c r="BS3" t="s">
        <v>210</v>
      </c>
      <c r="BX3" t="s">
        <v>127</v>
      </c>
      <c r="BY3" t="s">
        <v>128</v>
      </c>
      <c r="BZ3" t="s">
        <v>220</v>
      </c>
      <c r="CA3" t="s">
        <v>219</v>
      </c>
      <c r="CB3" s="7">
        <v>19</v>
      </c>
      <c r="CC3">
        <v>19</v>
      </c>
      <c r="CD3" s="7">
        <v>3</v>
      </c>
      <c r="CE3" s="7">
        <v>242.11</v>
      </c>
      <c r="CF3" s="7">
        <v>121.23</v>
      </c>
      <c r="CG3" s="7">
        <f t="shared" ref="CG3:CG10" si="1">IF(OR(CE3="",CF3=""),"",CE3-CF3)</f>
        <v>120.88000000000001</v>
      </c>
      <c r="CH3" s="7">
        <v>28.035</v>
      </c>
      <c r="CI3" s="7">
        <v>16.164999999999999</v>
      </c>
      <c r="CJ3" s="7">
        <v>16.440000000000001</v>
      </c>
      <c r="CK3" s="6">
        <v>45965.416666666701</v>
      </c>
      <c r="CL3" t="s">
        <v>5</v>
      </c>
      <c r="CN3" t="s">
        <v>129</v>
      </c>
    </row>
    <row r="4" spans="1:92">
      <c r="A4" t="s">
        <v>221</v>
      </c>
      <c r="B4" s="6">
        <v>45966.375</v>
      </c>
      <c r="C4" s="7">
        <v>45</v>
      </c>
      <c r="D4" s="7">
        <v>19</v>
      </c>
      <c r="E4" s="7">
        <v>1086.3</v>
      </c>
      <c r="F4" s="7">
        <v>65.900000000000006</v>
      </c>
      <c r="H4" s="7">
        <v>100.2</v>
      </c>
      <c r="I4" s="7">
        <f t="shared" si="0"/>
        <v>104.93999999999998</v>
      </c>
      <c r="J4" s="7">
        <v>26</v>
      </c>
      <c r="K4" s="7">
        <v>182</v>
      </c>
      <c r="L4" s="7">
        <v>175</v>
      </c>
      <c r="M4" s="7">
        <v>2.99</v>
      </c>
      <c r="N4" s="7">
        <v>66</v>
      </c>
      <c r="Q4" s="7"/>
      <c r="AA4" t="s">
        <v>219</v>
      </c>
      <c r="AB4" s="6">
        <v>45966.375</v>
      </c>
      <c r="AC4" t="s">
        <v>114</v>
      </c>
      <c r="AD4" t="s">
        <v>115</v>
      </c>
      <c r="AE4" t="s">
        <v>116</v>
      </c>
      <c r="AF4">
        <v>19</v>
      </c>
      <c r="AG4" t="s">
        <v>209</v>
      </c>
      <c r="AH4">
        <v>3</v>
      </c>
      <c r="AJ4" t="s">
        <v>118</v>
      </c>
      <c r="AK4" s="7">
        <v>21.2</v>
      </c>
      <c r="AN4">
        <v>46.02</v>
      </c>
      <c r="AO4">
        <v>24.22</v>
      </c>
      <c r="AP4">
        <v>205.14</v>
      </c>
      <c r="AT4" t="s">
        <v>119</v>
      </c>
      <c r="AU4" t="s">
        <v>133</v>
      </c>
      <c r="AV4" t="s">
        <v>121</v>
      </c>
      <c r="AY4" t="s">
        <v>122</v>
      </c>
      <c r="AZ4" t="s">
        <v>123</v>
      </c>
      <c r="BO4" t="s">
        <v>124</v>
      </c>
      <c r="BP4" t="s">
        <v>125</v>
      </c>
      <c r="BQ4" t="s">
        <v>219</v>
      </c>
      <c r="BR4" t="s">
        <v>219</v>
      </c>
      <c r="BS4" t="s">
        <v>210</v>
      </c>
      <c r="BX4" t="s">
        <v>127</v>
      </c>
      <c r="BY4" t="s">
        <v>128</v>
      </c>
      <c r="BZ4" t="s">
        <v>221</v>
      </c>
      <c r="CA4" t="s">
        <v>219</v>
      </c>
      <c r="CB4" s="7">
        <v>19.3</v>
      </c>
      <c r="CC4">
        <v>19</v>
      </c>
      <c r="CD4" s="7">
        <v>3</v>
      </c>
      <c r="CE4" s="7">
        <v>205.14</v>
      </c>
      <c r="CF4" s="7">
        <v>100.2</v>
      </c>
      <c r="CG4" s="7">
        <f t="shared" si="1"/>
        <v>104.93999999999998</v>
      </c>
      <c r="CH4" s="7">
        <v>46.02</v>
      </c>
      <c r="CI4" s="7">
        <v>30.72</v>
      </c>
      <c r="CJ4" s="7">
        <v>24.22</v>
      </c>
      <c r="CK4" s="6">
        <v>45966.375</v>
      </c>
      <c r="CL4" t="s">
        <v>5</v>
      </c>
      <c r="CN4" t="s">
        <v>129</v>
      </c>
    </row>
    <row r="5" spans="1:92">
      <c r="A5" t="s">
        <v>222</v>
      </c>
      <c r="B5" s="6">
        <v>45967.375</v>
      </c>
      <c r="C5" s="7">
        <v>69</v>
      </c>
      <c r="D5" s="7">
        <v>19</v>
      </c>
      <c r="E5" s="7">
        <v>1066.3</v>
      </c>
      <c r="F5" s="7">
        <v>74.64</v>
      </c>
      <c r="H5" s="7">
        <v>68.48</v>
      </c>
      <c r="I5" s="7">
        <f t="shared" si="0"/>
        <v>96.54</v>
      </c>
      <c r="J5" s="7">
        <v>21</v>
      </c>
      <c r="K5" s="7">
        <v>63</v>
      </c>
      <c r="L5" s="7">
        <v>73</v>
      </c>
      <c r="M5" s="7">
        <v>5.17</v>
      </c>
      <c r="N5" s="7">
        <v>78</v>
      </c>
      <c r="Q5" s="7"/>
      <c r="AA5" t="s">
        <v>219</v>
      </c>
      <c r="AB5" s="6">
        <v>45967.375</v>
      </c>
      <c r="AC5" t="s">
        <v>114</v>
      </c>
      <c r="AD5" t="s">
        <v>115</v>
      </c>
      <c r="AE5" t="s">
        <v>116</v>
      </c>
      <c r="AF5">
        <v>19</v>
      </c>
      <c r="AG5" t="s">
        <v>209</v>
      </c>
      <c r="AH5">
        <v>3</v>
      </c>
      <c r="AJ5" t="s">
        <v>118</v>
      </c>
      <c r="AK5" s="7">
        <v>16.600000000000001</v>
      </c>
      <c r="AN5">
        <v>68.430000000000007</v>
      </c>
      <c r="AO5">
        <v>15.6</v>
      </c>
      <c r="AP5">
        <v>165.02</v>
      </c>
      <c r="AT5" t="s">
        <v>119</v>
      </c>
      <c r="AU5" t="s">
        <v>135</v>
      </c>
      <c r="AV5" t="s">
        <v>121</v>
      </c>
      <c r="AY5" t="s">
        <v>122</v>
      </c>
      <c r="AZ5" t="s">
        <v>123</v>
      </c>
      <c r="BO5" t="s">
        <v>124</v>
      </c>
      <c r="BP5" t="s">
        <v>125</v>
      </c>
      <c r="BQ5" t="s">
        <v>219</v>
      </c>
      <c r="BR5" t="s">
        <v>219</v>
      </c>
      <c r="BS5" t="s">
        <v>210</v>
      </c>
      <c r="BX5" t="s">
        <v>127</v>
      </c>
      <c r="BY5" t="s">
        <v>128</v>
      </c>
      <c r="BZ5" t="s">
        <v>222</v>
      </c>
      <c r="CA5" t="s">
        <v>219</v>
      </c>
      <c r="CB5" s="7">
        <v>19.3</v>
      </c>
      <c r="CC5">
        <v>19</v>
      </c>
      <c r="CD5" s="7">
        <v>3</v>
      </c>
      <c r="CE5" s="7">
        <v>165.02</v>
      </c>
      <c r="CF5" s="7">
        <v>68.48</v>
      </c>
      <c r="CG5" s="7">
        <f t="shared" si="1"/>
        <v>96.54</v>
      </c>
      <c r="CH5" s="7">
        <v>68.430000000000007</v>
      </c>
      <c r="CI5" s="7">
        <v>51.08</v>
      </c>
      <c r="CJ5" s="7">
        <v>15.6</v>
      </c>
      <c r="CK5" s="6">
        <v>45967.375</v>
      </c>
      <c r="CL5" t="s">
        <v>5</v>
      </c>
      <c r="CN5" t="s">
        <v>129</v>
      </c>
    </row>
    <row r="6" spans="1:92">
      <c r="A6" t="s">
        <v>305</v>
      </c>
      <c r="B6" s="6">
        <f>B2+3</f>
        <v>45967.5</v>
      </c>
      <c r="C6" s="7">
        <v>72</v>
      </c>
      <c r="D6" s="7"/>
      <c r="E6" s="7"/>
      <c r="F6" s="7"/>
      <c r="H6" s="7"/>
      <c r="I6" s="7"/>
      <c r="J6" s="7"/>
      <c r="K6" s="7"/>
      <c r="L6" s="7"/>
      <c r="M6" s="7"/>
      <c r="N6" s="7"/>
      <c r="Q6" s="7"/>
      <c r="R6">
        <v>100</v>
      </c>
      <c r="AB6" s="6"/>
      <c r="AK6" s="7"/>
      <c r="CB6" s="7"/>
      <c r="CD6" s="7"/>
      <c r="CE6" s="7"/>
      <c r="CF6" s="7"/>
      <c r="CG6" s="7"/>
      <c r="CH6" s="7"/>
      <c r="CI6" s="7"/>
      <c r="CJ6" s="7"/>
      <c r="CK6" s="6"/>
    </row>
    <row r="7" spans="1:92">
      <c r="A7" t="s">
        <v>223</v>
      </c>
      <c r="B7" s="6">
        <v>45968.395833333299</v>
      </c>
      <c r="C7" s="7">
        <v>93.5</v>
      </c>
      <c r="D7" s="7">
        <v>19</v>
      </c>
      <c r="E7" s="7">
        <v>1046.4000000000001</v>
      </c>
      <c r="F7" s="7">
        <v>70.7</v>
      </c>
      <c r="H7" s="7">
        <v>44.45</v>
      </c>
      <c r="I7" s="7">
        <f t="shared" si="0"/>
        <v>80.41</v>
      </c>
      <c r="J7" s="7">
        <v>75</v>
      </c>
      <c r="K7" s="7">
        <v>70</v>
      </c>
      <c r="L7" s="7">
        <v>132</v>
      </c>
      <c r="M7" s="7">
        <v>6.62</v>
      </c>
      <c r="N7" s="7">
        <v>68</v>
      </c>
      <c r="Q7" s="7">
        <v>7.08</v>
      </c>
      <c r="AA7" t="s">
        <v>219</v>
      </c>
      <c r="AB7" s="6">
        <v>45968.395833333299</v>
      </c>
      <c r="AC7" t="s">
        <v>114</v>
      </c>
      <c r="AD7" t="s">
        <v>115</v>
      </c>
      <c r="AE7" t="s">
        <v>116</v>
      </c>
      <c r="AF7">
        <v>19</v>
      </c>
      <c r="AG7" t="s">
        <v>209</v>
      </c>
      <c r="AH7">
        <v>3</v>
      </c>
      <c r="AJ7" t="s">
        <v>118</v>
      </c>
      <c r="AK7" s="7">
        <v>12</v>
      </c>
      <c r="AN7">
        <v>87.56</v>
      </c>
      <c r="AO7">
        <v>13.42</v>
      </c>
      <c r="AP7">
        <v>124.86</v>
      </c>
      <c r="AT7" t="s">
        <v>119</v>
      </c>
      <c r="AU7" t="s">
        <v>137</v>
      </c>
      <c r="AV7" t="s">
        <v>121</v>
      </c>
      <c r="AY7" t="s">
        <v>122</v>
      </c>
      <c r="AZ7" t="s">
        <v>123</v>
      </c>
      <c r="BO7" t="s">
        <v>124</v>
      </c>
      <c r="BP7" t="s">
        <v>125</v>
      </c>
      <c r="BQ7" t="s">
        <v>219</v>
      </c>
      <c r="BR7" t="s">
        <v>219</v>
      </c>
      <c r="BS7" t="s">
        <v>210</v>
      </c>
      <c r="BX7" t="s">
        <v>127</v>
      </c>
      <c r="BY7" t="s">
        <v>128</v>
      </c>
      <c r="BZ7" t="s">
        <v>223</v>
      </c>
      <c r="CA7" t="s">
        <v>219</v>
      </c>
      <c r="CB7" s="7">
        <v>20.6</v>
      </c>
      <c r="CC7">
        <v>19</v>
      </c>
      <c r="CD7" s="7">
        <v>3</v>
      </c>
      <c r="CE7" s="7">
        <v>124.86</v>
      </c>
      <c r="CF7" s="7">
        <v>44.45</v>
      </c>
      <c r="CG7" s="7">
        <f t="shared" si="1"/>
        <v>80.41</v>
      </c>
      <c r="CH7" s="7">
        <v>87.56</v>
      </c>
      <c r="CI7" s="7">
        <v>61.9</v>
      </c>
      <c r="CJ7" s="7">
        <v>13.42</v>
      </c>
      <c r="CK7" s="6">
        <v>45968.395833333299</v>
      </c>
      <c r="CL7" t="s">
        <v>5</v>
      </c>
      <c r="CN7" t="s">
        <v>129</v>
      </c>
    </row>
    <row r="8" spans="1:92">
      <c r="A8" t="s">
        <v>224</v>
      </c>
      <c r="B8" s="6">
        <v>45971.395833333299</v>
      </c>
      <c r="C8" s="7">
        <v>165.5</v>
      </c>
      <c r="D8" s="7">
        <v>19</v>
      </c>
      <c r="E8" s="7">
        <v>1009.3</v>
      </c>
      <c r="F8" s="7">
        <v>68.17</v>
      </c>
      <c r="H8" s="7">
        <v>6.17</v>
      </c>
      <c r="I8" s="7">
        <f t="shared" si="0"/>
        <v>35.53</v>
      </c>
      <c r="J8" s="7">
        <v>73</v>
      </c>
      <c r="K8" s="7">
        <v>35</v>
      </c>
      <c r="L8" s="7">
        <v>102</v>
      </c>
      <c r="M8" s="7">
        <v>7.1</v>
      </c>
      <c r="N8" s="7">
        <v>30</v>
      </c>
      <c r="Q8" s="7">
        <v>12.06</v>
      </c>
      <c r="AA8" t="s">
        <v>219</v>
      </c>
      <c r="AB8" s="6">
        <v>45971.395833333299</v>
      </c>
      <c r="AC8" t="s">
        <v>114</v>
      </c>
      <c r="AD8" t="s">
        <v>115</v>
      </c>
      <c r="AE8" t="s">
        <v>116</v>
      </c>
      <c r="AF8">
        <v>19</v>
      </c>
      <c r="AG8" t="s">
        <v>209</v>
      </c>
      <c r="AH8">
        <v>3</v>
      </c>
      <c r="AJ8" t="s">
        <v>118</v>
      </c>
      <c r="AK8" s="7">
        <v>2.9</v>
      </c>
      <c r="AN8">
        <v>83.72</v>
      </c>
      <c r="AO8">
        <v>11.38</v>
      </c>
      <c r="AP8">
        <v>41.7</v>
      </c>
      <c r="AT8" t="s">
        <v>119</v>
      </c>
      <c r="AU8" t="s">
        <v>139</v>
      </c>
      <c r="AV8" t="s">
        <v>121</v>
      </c>
      <c r="AY8" t="s">
        <v>122</v>
      </c>
      <c r="AZ8" t="s">
        <v>123</v>
      </c>
      <c r="BO8" t="s">
        <v>124</v>
      </c>
      <c r="BP8" t="s">
        <v>125</v>
      </c>
      <c r="BQ8" t="s">
        <v>219</v>
      </c>
      <c r="BR8" t="s">
        <v>219</v>
      </c>
      <c r="BS8" t="s">
        <v>210</v>
      </c>
      <c r="BX8" t="s">
        <v>127</v>
      </c>
      <c r="BY8" t="s">
        <v>128</v>
      </c>
      <c r="BZ8" t="s">
        <v>224</v>
      </c>
      <c r="CA8" t="s">
        <v>219</v>
      </c>
      <c r="CB8" s="7">
        <v>20.3</v>
      </c>
      <c r="CC8">
        <v>19</v>
      </c>
      <c r="CD8" s="7">
        <v>3</v>
      </c>
      <c r="CE8" s="7">
        <v>41.7</v>
      </c>
      <c r="CF8" s="7">
        <v>6.17</v>
      </c>
      <c r="CG8" s="7">
        <f t="shared" si="1"/>
        <v>35.53</v>
      </c>
      <c r="CH8" s="7">
        <v>83.72</v>
      </c>
      <c r="CI8" s="7">
        <v>57.07</v>
      </c>
      <c r="CJ8" s="7">
        <v>11.38</v>
      </c>
      <c r="CK8" s="6">
        <v>45971.395833333299</v>
      </c>
      <c r="CL8" t="s">
        <v>5</v>
      </c>
      <c r="CN8" t="s">
        <v>129</v>
      </c>
    </row>
    <row r="9" spans="1:92">
      <c r="A9" t="s">
        <v>225</v>
      </c>
      <c r="B9" s="6">
        <v>45972.479166666701</v>
      </c>
      <c r="C9" s="7">
        <v>191.5</v>
      </c>
      <c r="D9" s="7">
        <v>19</v>
      </c>
      <c r="E9" s="7">
        <v>1002.1</v>
      </c>
      <c r="F9" s="7">
        <v>69.33</v>
      </c>
      <c r="H9" s="7">
        <v>2.69</v>
      </c>
      <c r="I9" s="7">
        <f t="shared" si="0"/>
        <v>22.82</v>
      </c>
      <c r="J9" s="7">
        <v>69</v>
      </c>
      <c r="K9" s="7">
        <v>39</v>
      </c>
      <c r="L9" s="7">
        <v>101</v>
      </c>
      <c r="M9" s="7">
        <v>8.01</v>
      </c>
      <c r="N9" s="7">
        <v>29</v>
      </c>
      <c r="Q9" s="7"/>
      <c r="AA9" t="s">
        <v>219</v>
      </c>
      <c r="AB9" s="6">
        <v>45972.479166666701</v>
      </c>
      <c r="AC9" t="s">
        <v>114</v>
      </c>
      <c r="AD9" t="s">
        <v>115</v>
      </c>
      <c r="AE9" t="s">
        <v>116</v>
      </c>
      <c r="AF9">
        <v>19</v>
      </c>
      <c r="AG9" t="s">
        <v>209</v>
      </c>
      <c r="AH9">
        <v>3</v>
      </c>
      <c r="AJ9" t="s">
        <v>118</v>
      </c>
      <c r="AK9" s="7">
        <v>1</v>
      </c>
      <c r="AN9">
        <v>98.92</v>
      </c>
      <c r="AO9">
        <v>12.27</v>
      </c>
      <c r="AP9">
        <v>25.51</v>
      </c>
      <c r="AT9" t="s">
        <v>119</v>
      </c>
      <c r="AU9" t="s">
        <v>141</v>
      </c>
      <c r="AV9" t="s">
        <v>121</v>
      </c>
      <c r="AY9" t="s">
        <v>122</v>
      </c>
      <c r="AZ9" t="s">
        <v>123</v>
      </c>
      <c r="BO9" t="s">
        <v>124</v>
      </c>
      <c r="BP9" t="s">
        <v>125</v>
      </c>
      <c r="BQ9" t="s">
        <v>219</v>
      </c>
      <c r="BR9" t="s">
        <v>219</v>
      </c>
      <c r="BS9" t="s">
        <v>210</v>
      </c>
      <c r="BX9" t="s">
        <v>127</v>
      </c>
      <c r="BY9" t="s">
        <v>128</v>
      </c>
      <c r="BZ9" t="s">
        <v>225</v>
      </c>
      <c r="CA9" t="s">
        <v>219</v>
      </c>
      <c r="CB9" s="7">
        <v>19.399999999999999</v>
      </c>
      <c r="CC9">
        <v>19</v>
      </c>
      <c r="CD9" s="7">
        <v>3</v>
      </c>
      <c r="CE9" s="7">
        <v>25.51</v>
      </c>
      <c r="CF9" s="7">
        <v>2.69</v>
      </c>
      <c r="CG9" s="7">
        <f t="shared" si="1"/>
        <v>22.82</v>
      </c>
      <c r="CH9" s="7">
        <v>98.92</v>
      </c>
      <c r="CI9" s="7">
        <v>68.59</v>
      </c>
      <c r="CJ9" s="7">
        <v>12.27</v>
      </c>
      <c r="CK9" s="6">
        <v>45972.479166666701</v>
      </c>
      <c r="CL9" t="s">
        <v>5</v>
      </c>
      <c r="CN9" t="s">
        <v>129</v>
      </c>
    </row>
    <row r="10" spans="1:92">
      <c r="A10" t="s">
        <v>226</v>
      </c>
      <c r="B10" s="6">
        <v>45973.375</v>
      </c>
      <c r="C10" s="7">
        <v>213</v>
      </c>
      <c r="D10" s="7">
        <v>19</v>
      </c>
      <c r="E10" s="7">
        <v>995.6</v>
      </c>
      <c r="F10" s="7">
        <v>67.19</v>
      </c>
      <c r="H10" s="7">
        <v>1.54</v>
      </c>
      <c r="I10" s="7">
        <f t="shared" si="0"/>
        <v>12.280000000000001</v>
      </c>
      <c r="J10" s="7">
        <v>67</v>
      </c>
      <c r="K10" s="7">
        <v>38</v>
      </c>
      <c r="L10" s="7">
        <v>98</v>
      </c>
      <c r="M10" s="7">
        <v>7.92</v>
      </c>
      <c r="N10" s="7">
        <v>24</v>
      </c>
      <c r="Q10" s="7">
        <v>13.9</v>
      </c>
      <c r="AA10" t="s">
        <v>219</v>
      </c>
      <c r="AB10" s="6">
        <v>45973.375</v>
      </c>
      <c r="AC10" t="s">
        <v>114</v>
      </c>
      <c r="AD10" t="s">
        <v>115</v>
      </c>
      <c r="AE10" t="s">
        <v>116</v>
      </c>
      <c r="AF10">
        <v>19</v>
      </c>
      <c r="AG10" t="s">
        <v>209</v>
      </c>
      <c r="AH10">
        <v>3</v>
      </c>
      <c r="AJ10" t="s">
        <v>118</v>
      </c>
      <c r="AK10" s="7">
        <v>-0.6</v>
      </c>
      <c r="AN10">
        <v>78.42</v>
      </c>
      <c r="AO10">
        <v>11.07</v>
      </c>
      <c r="AP10">
        <v>13.82</v>
      </c>
      <c r="AT10" t="s">
        <v>119</v>
      </c>
      <c r="AU10" t="s">
        <v>143</v>
      </c>
      <c r="AV10" t="s">
        <v>121</v>
      </c>
      <c r="AY10" t="s">
        <v>122</v>
      </c>
      <c r="AZ10" t="s">
        <v>123</v>
      </c>
      <c r="BO10" t="s">
        <v>124</v>
      </c>
      <c r="BP10" t="s">
        <v>125</v>
      </c>
      <c r="BQ10" t="s">
        <v>219</v>
      </c>
      <c r="BR10" t="s">
        <v>219</v>
      </c>
      <c r="BS10" t="s">
        <v>210</v>
      </c>
      <c r="BX10" t="s">
        <v>127</v>
      </c>
      <c r="BY10" t="s">
        <v>128</v>
      </c>
      <c r="BZ10" t="s">
        <v>226</v>
      </c>
      <c r="CA10" t="s">
        <v>219</v>
      </c>
      <c r="CB10" s="7">
        <v>20.3</v>
      </c>
      <c r="CC10">
        <v>19</v>
      </c>
      <c r="CD10" s="7">
        <v>3</v>
      </c>
      <c r="CE10" s="7">
        <v>13.82</v>
      </c>
      <c r="CF10" s="7">
        <v>1.54</v>
      </c>
      <c r="CG10" s="7">
        <f t="shared" si="1"/>
        <v>12.280000000000001</v>
      </c>
      <c r="CH10" s="7">
        <v>78.42</v>
      </c>
      <c r="CI10" s="7">
        <v>52.69</v>
      </c>
      <c r="CJ10" s="7">
        <v>11.07</v>
      </c>
      <c r="CK10" s="6">
        <v>45973.375</v>
      </c>
      <c r="CL10" t="s">
        <v>5</v>
      </c>
      <c r="CN10" t="s">
        <v>129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N10"/>
  <sheetViews>
    <sheetView workbookViewId="0">
      <selection activeCell="A6" sqref="A6:XFD6"/>
    </sheetView>
  </sheetViews>
  <sheetFormatPr baseColWidth="10" defaultColWidth="9" defaultRowHeight="14.25"/>
  <cols>
    <col min="1" max="3" width="18" customWidth="1"/>
    <col min="4" max="92" width="13" customWidth="1"/>
  </cols>
  <sheetData>
    <row r="1" spans="1:92" ht="60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67</v>
      </c>
      <c r="AW1" s="1" t="s">
        <v>68</v>
      </c>
      <c r="AX1" s="1" t="s">
        <v>69</v>
      </c>
      <c r="AY1" s="1" t="s">
        <v>70</v>
      </c>
      <c r="AZ1" s="1" t="s">
        <v>71</v>
      </c>
      <c r="BA1" s="1" t="s">
        <v>72</v>
      </c>
      <c r="BB1" s="1" t="s">
        <v>73</v>
      </c>
      <c r="BC1" s="1" t="s">
        <v>74</v>
      </c>
      <c r="BD1" s="1" t="s">
        <v>75</v>
      </c>
      <c r="BE1" s="1" t="s">
        <v>76</v>
      </c>
      <c r="BF1" s="1" t="s">
        <v>77</v>
      </c>
      <c r="BG1" s="1" t="s">
        <v>78</v>
      </c>
      <c r="BH1" s="1" t="s">
        <v>79</v>
      </c>
      <c r="BI1" s="1" t="s">
        <v>80</v>
      </c>
      <c r="BJ1" s="1" t="s">
        <v>81</v>
      </c>
      <c r="BK1" s="1" t="s">
        <v>82</v>
      </c>
      <c r="BL1" s="1" t="s">
        <v>83</v>
      </c>
      <c r="BM1" s="1" t="s">
        <v>84</v>
      </c>
      <c r="BN1" s="1" t="s">
        <v>85</v>
      </c>
      <c r="BO1" s="1" t="s">
        <v>86</v>
      </c>
      <c r="BP1" s="1" t="s">
        <v>87</v>
      </c>
      <c r="BQ1" s="1" t="s">
        <v>88</v>
      </c>
      <c r="BR1" s="1" t="s">
        <v>89</v>
      </c>
      <c r="BS1" s="1" t="s">
        <v>90</v>
      </c>
      <c r="BT1" s="1" t="s">
        <v>91</v>
      </c>
      <c r="BU1" s="1" t="s">
        <v>92</v>
      </c>
      <c r="BV1" s="1" t="s">
        <v>93</v>
      </c>
      <c r="BW1" s="1" t="s">
        <v>94</v>
      </c>
      <c r="BX1" s="1" t="s">
        <v>95</v>
      </c>
      <c r="BY1" s="1" t="s">
        <v>96</v>
      </c>
      <c r="BZ1" s="1" t="s">
        <v>97</v>
      </c>
      <c r="CA1" s="1" t="s">
        <v>98</v>
      </c>
      <c r="CB1" s="1" t="s">
        <v>99</v>
      </c>
      <c r="CC1" s="1" t="s">
        <v>100</v>
      </c>
      <c r="CD1" s="1" t="s">
        <v>101</v>
      </c>
      <c r="CE1" s="1" t="s">
        <v>102</v>
      </c>
      <c r="CF1" s="1" t="s">
        <v>103</v>
      </c>
      <c r="CG1" s="1" t="s">
        <v>104</v>
      </c>
      <c r="CH1" s="1" t="s">
        <v>105</v>
      </c>
      <c r="CI1" s="1" t="s">
        <v>106</v>
      </c>
      <c r="CJ1" s="1" t="s">
        <v>107</v>
      </c>
      <c r="CK1" s="1" t="s">
        <v>108</v>
      </c>
      <c r="CL1" s="1" t="s">
        <v>109</v>
      </c>
      <c r="CM1" s="1" t="s">
        <v>110</v>
      </c>
      <c r="CN1" s="1" t="s">
        <v>111</v>
      </c>
    </row>
    <row r="2" spans="1:92">
      <c r="A2" t="s">
        <v>227</v>
      </c>
      <c r="B2" s="6">
        <v>45964.5</v>
      </c>
      <c r="C2" s="7">
        <v>0</v>
      </c>
      <c r="D2" s="7">
        <v>15</v>
      </c>
      <c r="E2" s="7">
        <v>1098.3</v>
      </c>
      <c r="F2" s="7"/>
      <c r="H2" s="7">
        <v>121.91</v>
      </c>
      <c r="I2" s="7">
        <f>IF(OR(CE2="",CF2=""),"",CE2-CF2)</f>
        <v>118.49000000000001</v>
      </c>
      <c r="J2" s="7">
        <v>13</v>
      </c>
      <c r="K2" s="7">
        <v>252</v>
      </c>
      <c r="L2" s="7">
        <v>220</v>
      </c>
      <c r="M2" s="7">
        <v>0.22</v>
      </c>
      <c r="N2" s="7">
        <v>7</v>
      </c>
      <c r="Q2" s="7">
        <v>0</v>
      </c>
      <c r="AA2" t="s">
        <v>228</v>
      </c>
      <c r="AB2" s="6">
        <v>45964.5</v>
      </c>
      <c r="AC2" t="s">
        <v>114</v>
      </c>
      <c r="AD2" t="s">
        <v>115</v>
      </c>
      <c r="AE2" t="s">
        <v>116</v>
      </c>
      <c r="AF2">
        <v>15</v>
      </c>
      <c r="AG2" t="s">
        <v>229</v>
      </c>
      <c r="AH2">
        <v>3</v>
      </c>
      <c r="AJ2" t="s">
        <v>118</v>
      </c>
      <c r="AK2" s="7">
        <v>23.6</v>
      </c>
      <c r="AN2">
        <v>15</v>
      </c>
      <c r="AP2">
        <v>240.4</v>
      </c>
      <c r="AT2" t="s">
        <v>119</v>
      </c>
      <c r="AU2" t="s">
        <v>120</v>
      </c>
      <c r="AV2" t="s">
        <v>121</v>
      </c>
      <c r="AY2" t="s">
        <v>122</v>
      </c>
      <c r="AZ2" t="s">
        <v>123</v>
      </c>
      <c r="BO2" t="s">
        <v>124</v>
      </c>
      <c r="BP2" t="s">
        <v>125</v>
      </c>
      <c r="BQ2" t="s">
        <v>228</v>
      </c>
      <c r="BR2" t="s">
        <v>228</v>
      </c>
      <c r="BS2" t="s">
        <v>230</v>
      </c>
      <c r="BX2" t="s">
        <v>127</v>
      </c>
      <c r="BY2" t="s">
        <v>128</v>
      </c>
      <c r="BZ2" t="s">
        <v>227</v>
      </c>
      <c r="CA2" t="s">
        <v>228</v>
      </c>
      <c r="CB2" s="7">
        <v>15.9</v>
      </c>
      <c r="CC2">
        <v>15</v>
      </c>
      <c r="CD2" s="7">
        <v>3</v>
      </c>
      <c r="CE2" s="7">
        <v>240.4</v>
      </c>
      <c r="CF2" s="7">
        <v>121.91</v>
      </c>
      <c r="CG2" s="7">
        <f>IF(OR(CE2="",CF2=""),"",CE2-CF2)</f>
        <v>118.49000000000001</v>
      </c>
      <c r="CH2" s="7">
        <v>15</v>
      </c>
      <c r="CI2" s="7"/>
      <c r="CJ2" s="7"/>
      <c r="CK2" s="6">
        <v>45964.5</v>
      </c>
      <c r="CL2" t="s">
        <v>5</v>
      </c>
      <c r="CN2" t="s">
        <v>129</v>
      </c>
    </row>
    <row r="3" spans="1:92">
      <c r="A3" t="s">
        <v>231</v>
      </c>
      <c r="B3" s="6">
        <v>45965.416666666701</v>
      </c>
      <c r="C3" s="7">
        <v>22</v>
      </c>
      <c r="D3" s="7">
        <v>15</v>
      </c>
      <c r="E3" s="7">
        <v>1097.9000000000001</v>
      </c>
      <c r="F3" s="7">
        <v>54.26</v>
      </c>
      <c r="H3" s="7">
        <v>119.1</v>
      </c>
      <c r="I3" s="7">
        <f t="shared" ref="I3:I10" si="0">IF(OR(CE3="",CF3=""),"",CE3-CF3)</f>
        <v>116.71000000000001</v>
      </c>
      <c r="J3" s="7">
        <v>76</v>
      </c>
      <c r="K3" s="7">
        <v>255</v>
      </c>
      <c r="L3" s="7">
        <v>286</v>
      </c>
      <c r="M3" s="7">
        <v>0.62</v>
      </c>
      <c r="N3" s="7">
        <v>6</v>
      </c>
      <c r="Q3" s="7"/>
      <c r="AA3" t="s">
        <v>228</v>
      </c>
      <c r="AB3" s="6">
        <v>45965.416666666701</v>
      </c>
      <c r="AC3" t="s">
        <v>114</v>
      </c>
      <c r="AD3" t="s">
        <v>115</v>
      </c>
      <c r="AE3" t="s">
        <v>116</v>
      </c>
      <c r="AF3">
        <v>15</v>
      </c>
      <c r="AG3" t="s">
        <v>229</v>
      </c>
      <c r="AH3">
        <v>3</v>
      </c>
      <c r="AJ3" t="s">
        <v>118</v>
      </c>
      <c r="AK3" s="7">
        <v>23.5</v>
      </c>
      <c r="AN3">
        <v>23.425000000000001</v>
      </c>
      <c r="AO3">
        <v>16.07</v>
      </c>
      <c r="AP3">
        <v>235.81</v>
      </c>
      <c r="AT3" t="s">
        <v>119</v>
      </c>
      <c r="AU3" t="s">
        <v>131</v>
      </c>
      <c r="AV3" t="s">
        <v>121</v>
      </c>
      <c r="AY3" t="s">
        <v>122</v>
      </c>
      <c r="AZ3" t="s">
        <v>123</v>
      </c>
      <c r="BO3" t="s">
        <v>124</v>
      </c>
      <c r="BP3" t="s">
        <v>125</v>
      </c>
      <c r="BQ3" t="s">
        <v>228</v>
      </c>
      <c r="BR3" t="s">
        <v>228</v>
      </c>
      <c r="BS3" t="s">
        <v>230</v>
      </c>
      <c r="BX3" t="s">
        <v>127</v>
      </c>
      <c r="BY3" t="s">
        <v>128</v>
      </c>
      <c r="BZ3" t="s">
        <v>231</v>
      </c>
      <c r="CA3" t="s">
        <v>228</v>
      </c>
      <c r="CB3" s="7">
        <v>15.8</v>
      </c>
      <c r="CC3">
        <v>15</v>
      </c>
      <c r="CD3" s="7">
        <v>3</v>
      </c>
      <c r="CE3" s="7">
        <v>235.81</v>
      </c>
      <c r="CF3" s="7">
        <v>119.1</v>
      </c>
      <c r="CG3" s="7">
        <f t="shared" ref="CG3:CG10" si="1">IF(OR(CE3="",CF3=""),"",CE3-CF3)</f>
        <v>116.71000000000001</v>
      </c>
      <c r="CH3" s="7">
        <v>23.425000000000001</v>
      </c>
      <c r="CI3" s="7">
        <v>12.71</v>
      </c>
      <c r="CJ3" s="7">
        <v>16.07</v>
      </c>
      <c r="CK3" s="6">
        <v>45965.416666666701</v>
      </c>
      <c r="CL3" t="s">
        <v>5</v>
      </c>
      <c r="CN3" t="s">
        <v>129</v>
      </c>
    </row>
    <row r="4" spans="1:92">
      <c r="A4" t="s">
        <v>232</v>
      </c>
      <c r="B4" s="6">
        <v>45966.375</v>
      </c>
      <c r="C4" s="7">
        <v>45</v>
      </c>
      <c r="D4" s="7">
        <v>15</v>
      </c>
      <c r="E4" s="7">
        <v>1093.5</v>
      </c>
      <c r="F4" s="7">
        <v>48.02</v>
      </c>
      <c r="H4" s="7">
        <v>109.73</v>
      </c>
      <c r="I4" s="7">
        <f t="shared" si="0"/>
        <v>112.7</v>
      </c>
      <c r="J4" s="7">
        <v>50</v>
      </c>
      <c r="K4" s="7">
        <v>243</v>
      </c>
      <c r="L4" s="7">
        <v>249</v>
      </c>
      <c r="M4" s="7">
        <v>1.1499999999999999</v>
      </c>
      <c r="N4" s="7">
        <v>23</v>
      </c>
      <c r="Q4" s="7"/>
      <c r="AA4" t="s">
        <v>228</v>
      </c>
      <c r="AB4" s="6">
        <v>45966.375</v>
      </c>
      <c r="AC4" t="s">
        <v>114</v>
      </c>
      <c r="AD4" t="s">
        <v>115</v>
      </c>
      <c r="AE4" t="s">
        <v>116</v>
      </c>
      <c r="AF4">
        <v>15</v>
      </c>
      <c r="AG4" t="s">
        <v>229</v>
      </c>
      <c r="AH4">
        <v>3</v>
      </c>
      <c r="AJ4" t="s">
        <v>118</v>
      </c>
      <c r="AK4" s="7">
        <v>22.6</v>
      </c>
      <c r="AN4">
        <v>29.11</v>
      </c>
      <c r="AO4">
        <v>17.940000000000001</v>
      </c>
      <c r="AP4">
        <v>222.43</v>
      </c>
      <c r="AT4" t="s">
        <v>119</v>
      </c>
      <c r="AU4" t="s">
        <v>133</v>
      </c>
      <c r="AV4" t="s">
        <v>121</v>
      </c>
      <c r="AY4" t="s">
        <v>122</v>
      </c>
      <c r="AZ4" t="s">
        <v>123</v>
      </c>
      <c r="BO4" t="s">
        <v>124</v>
      </c>
      <c r="BP4" t="s">
        <v>125</v>
      </c>
      <c r="BQ4" t="s">
        <v>228</v>
      </c>
      <c r="BR4" t="s">
        <v>228</v>
      </c>
      <c r="BS4" t="s">
        <v>230</v>
      </c>
      <c r="BX4" t="s">
        <v>127</v>
      </c>
      <c r="BY4" t="s">
        <v>128</v>
      </c>
      <c r="BZ4" t="s">
        <v>232</v>
      </c>
      <c r="CA4" t="s">
        <v>228</v>
      </c>
      <c r="CB4" s="7">
        <v>16.2</v>
      </c>
      <c r="CC4">
        <v>15</v>
      </c>
      <c r="CD4" s="7">
        <v>3</v>
      </c>
      <c r="CE4" s="7">
        <v>222.43</v>
      </c>
      <c r="CF4" s="7">
        <v>109.73</v>
      </c>
      <c r="CG4" s="7">
        <f t="shared" si="1"/>
        <v>112.7</v>
      </c>
      <c r="CH4" s="7">
        <v>29.11</v>
      </c>
      <c r="CI4" s="7">
        <v>13.98</v>
      </c>
      <c r="CJ4" s="7">
        <v>17.940000000000001</v>
      </c>
      <c r="CK4" s="6">
        <v>45966.375</v>
      </c>
      <c r="CL4" t="s">
        <v>5</v>
      </c>
      <c r="CN4" t="s">
        <v>129</v>
      </c>
    </row>
    <row r="5" spans="1:92">
      <c r="A5" t="s">
        <v>233</v>
      </c>
      <c r="B5" s="6">
        <v>45967.375</v>
      </c>
      <c r="C5" s="7">
        <v>69</v>
      </c>
      <c r="D5" s="7">
        <v>15</v>
      </c>
      <c r="E5" s="7">
        <v>1085.5</v>
      </c>
      <c r="F5" s="7">
        <v>58.62</v>
      </c>
      <c r="H5" s="7">
        <v>94.4</v>
      </c>
      <c r="I5" s="7">
        <f t="shared" si="0"/>
        <v>104.15</v>
      </c>
      <c r="J5" s="7">
        <v>29</v>
      </c>
      <c r="K5" s="7">
        <v>198</v>
      </c>
      <c r="L5" s="7">
        <v>191</v>
      </c>
      <c r="M5" s="7">
        <v>2.57</v>
      </c>
      <c r="N5" s="7">
        <v>53</v>
      </c>
      <c r="Q5" s="7"/>
      <c r="AA5" t="s">
        <v>228</v>
      </c>
      <c r="AB5" s="6">
        <v>45967.375</v>
      </c>
      <c r="AC5" t="s">
        <v>114</v>
      </c>
      <c r="AD5" t="s">
        <v>115</v>
      </c>
      <c r="AE5" t="s">
        <v>116</v>
      </c>
      <c r="AF5">
        <v>15</v>
      </c>
      <c r="AG5" t="s">
        <v>229</v>
      </c>
      <c r="AH5">
        <v>3</v>
      </c>
      <c r="AJ5" t="s">
        <v>118</v>
      </c>
      <c r="AK5" s="7">
        <v>20.8</v>
      </c>
      <c r="AN5">
        <v>37.86</v>
      </c>
      <c r="AO5">
        <v>22.92</v>
      </c>
      <c r="AP5">
        <v>198.55</v>
      </c>
      <c r="AT5" t="s">
        <v>119</v>
      </c>
      <c r="AU5" t="s">
        <v>135</v>
      </c>
      <c r="AV5" t="s">
        <v>121</v>
      </c>
      <c r="AY5" t="s">
        <v>122</v>
      </c>
      <c r="AZ5" t="s">
        <v>123</v>
      </c>
      <c r="BO5" t="s">
        <v>124</v>
      </c>
      <c r="BP5" t="s">
        <v>125</v>
      </c>
      <c r="BQ5" t="s">
        <v>228</v>
      </c>
      <c r="BR5" t="s">
        <v>228</v>
      </c>
      <c r="BS5" t="s">
        <v>230</v>
      </c>
      <c r="BX5" t="s">
        <v>127</v>
      </c>
      <c r="BY5" t="s">
        <v>128</v>
      </c>
      <c r="BZ5" t="s">
        <v>233</v>
      </c>
      <c r="CA5" t="s">
        <v>228</v>
      </c>
      <c r="CB5" s="7">
        <v>16.5</v>
      </c>
      <c r="CC5">
        <v>15</v>
      </c>
      <c r="CD5" s="7">
        <v>3</v>
      </c>
      <c r="CE5" s="7">
        <v>198.55</v>
      </c>
      <c r="CF5" s="7">
        <v>94.4</v>
      </c>
      <c r="CG5" s="7">
        <f t="shared" si="1"/>
        <v>104.15</v>
      </c>
      <c r="CH5" s="7">
        <v>37.86</v>
      </c>
      <c r="CI5" s="7">
        <v>22.2</v>
      </c>
      <c r="CJ5" s="7">
        <v>22.92</v>
      </c>
      <c r="CK5" s="6">
        <v>45967.375</v>
      </c>
      <c r="CL5" t="s">
        <v>5</v>
      </c>
      <c r="CN5" t="s">
        <v>129</v>
      </c>
    </row>
    <row r="6" spans="1:92">
      <c r="A6" t="s">
        <v>306</v>
      </c>
      <c r="B6" s="6">
        <f>B2+3</f>
        <v>45967.5</v>
      </c>
      <c r="C6" s="7">
        <v>72</v>
      </c>
      <c r="D6" s="7"/>
      <c r="E6" s="7"/>
      <c r="F6" s="7"/>
      <c r="H6" s="7"/>
      <c r="I6" s="7"/>
      <c r="J6" s="7"/>
      <c r="K6" s="7"/>
      <c r="L6" s="7"/>
      <c r="M6" s="7"/>
      <c r="N6" s="7"/>
      <c r="Q6" s="7"/>
      <c r="R6">
        <v>100</v>
      </c>
      <c r="AB6" s="6"/>
      <c r="AK6" s="7"/>
      <c r="CB6" s="7"/>
      <c r="CD6" s="7"/>
      <c r="CE6" s="7"/>
      <c r="CF6" s="7"/>
      <c r="CG6" s="7"/>
      <c r="CH6" s="7"/>
      <c r="CI6" s="7"/>
      <c r="CJ6" s="7"/>
      <c r="CK6" s="6"/>
    </row>
    <row r="7" spans="1:92">
      <c r="A7" t="s">
        <v>234</v>
      </c>
      <c r="B7" s="6">
        <v>45968.395833333299</v>
      </c>
      <c r="C7" s="7">
        <v>93.5</v>
      </c>
      <c r="D7" s="7">
        <v>15</v>
      </c>
      <c r="E7" s="7">
        <v>1070.2</v>
      </c>
      <c r="F7" s="7">
        <v>67.62</v>
      </c>
      <c r="H7" s="7">
        <v>74.849999999999994</v>
      </c>
      <c r="I7" s="7">
        <f t="shared" si="0"/>
        <v>100.14000000000001</v>
      </c>
      <c r="J7" s="7">
        <v>61</v>
      </c>
      <c r="K7" s="7">
        <v>208</v>
      </c>
      <c r="L7" s="7">
        <v>232</v>
      </c>
      <c r="M7" s="7">
        <v>4.18</v>
      </c>
      <c r="N7" s="7">
        <v>78</v>
      </c>
      <c r="Q7" s="7">
        <v>3.55</v>
      </c>
      <c r="AA7" t="s">
        <v>228</v>
      </c>
      <c r="AB7" s="6">
        <v>45968.395833333299</v>
      </c>
      <c r="AC7" t="s">
        <v>114</v>
      </c>
      <c r="AD7" t="s">
        <v>115</v>
      </c>
      <c r="AE7" t="s">
        <v>116</v>
      </c>
      <c r="AF7">
        <v>15</v>
      </c>
      <c r="AG7" t="s">
        <v>229</v>
      </c>
      <c r="AH7">
        <v>3</v>
      </c>
      <c r="AJ7" t="s">
        <v>118</v>
      </c>
      <c r="AK7" s="7">
        <v>17.5</v>
      </c>
      <c r="AN7">
        <v>80.41</v>
      </c>
      <c r="AO7">
        <v>17.38</v>
      </c>
      <c r="AP7">
        <v>174.99</v>
      </c>
      <c r="AT7" t="s">
        <v>119</v>
      </c>
      <c r="AU7" t="s">
        <v>137</v>
      </c>
      <c r="AV7" t="s">
        <v>121</v>
      </c>
      <c r="AY7" t="s">
        <v>122</v>
      </c>
      <c r="AZ7" t="s">
        <v>123</v>
      </c>
      <c r="BO7" t="s">
        <v>124</v>
      </c>
      <c r="BP7" t="s">
        <v>125</v>
      </c>
      <c r="BQ7" t="s">
        <v>228</v>
      </c>
      <c r="BR7" t="s">
        <v>228</v>
      </c>
      <c r="BS7" t="s">
        <v>230</v>
      </c>
      <c r="BX7" t="s">
        <v>127</v>
      </c>
      <c r="BY7" t="s">
        <v>128</v>
      </c>
      <c r="BZ7" t="s">
        <v>234</v>
      </c>
      <c r="CA7" t="s">
        <v>228</v>
      </c>
      <c r="CB7" s="7">
        <v>18.5</v>
      </c>
      <c r="CC7">
        <v>15</v>
      </c>
      <c r="CD7" s="7">
        <v>3</v>
      </c>
      <c r="CE7" s="7">
        <v>174.99</v>
      </c>
      <c r="CF7" s="7">
        <v>74.849999999999994</v>
      </c>
      <c r="CG7" s="7">
        <f t="shared" si="1"/>
        <v>100.14000000000001</v>
      </c>
      <c r="CH7" s="7">
        <v>80.41</v>
      </c>
      <c r="CI7" s="7">
        <v>54.38</v>
      </c>
      <c r="CJ7" s="7">
        <v>17.38</v>
      </c>
      <c r="CK7" s="6">
        <v>45968.395833333299</v>
      </c>
      <c r="CL7" t="s">
        <v>5</v>
      </c>
      <c r="CN7" t="s">
        <v>129</v>
      </c>
    </row>
    <row r="8" spans="1:92">
      <c r="A8" t="s">
        <v>235</v>
      </c>
      <c r="B8" s="6">
        <v>45971.395833333299</v>
      </c>
      <c r="C8" s="7">
        <v>165.5</v>
      </c>
      <c r="D8" s="7">
        <v>15</v>
      </c>
      <c r="E8" s="7">
        <v>1032.4000000000001</v>
      </c>
      <c r="F8" s="7">
        <v>68.8</v>
      </c>
      <c r="H8" s="7">
        <v>26.41</v>
      </c>
      <c r="I8" s="7">
        <f t="shared" si="0"/>
        <v>63.650000000000006</v>
      </c>
      <c r="J8" s="7">
        <v>49</v>
      </c>
      <c r="K8" s="7">
        <v>93</v>
      </c>
      <c r="L8" s="7">
        <v>126</v>
      </c>
      <c r="M8" s="7">
        <v>6.09</v>
      </c>
      <c r="N8" s="7">
        <v>43</v>
      </c>
      <c r="Q8" s="7">
        <v>8.4499999999999993</v>
      </c>
      <c r="AA8" t="s">
        <v>228</v>
      </c>
      <c r="AB8" s="6">
        <v>45971.395833333299</v>
      </c>
      <c r="AC8" t="s">
        <v>114</v>
      </c>
      <c r="AD8" t="s">
        <v>115</v>
      </c>
      <c r="AE8" t="s">
        <v>116</v>
      </c>
      <c r="AF8">
        <v>15</v>
      </c>
      <c r="AG8" t="s">
        <v>229</v>
      </c>
      <c r="AH8">
        <v>3</v>
      </c>
      <c r="AJ8" t="s">
        <v>118</v>
      </c>
      <c r="AK8" s="7">
        <v>8.5</v>
      </c>
      <c r="AN8">
        <v>70.89</v>
      </c>
      <c r="AO8">
        <v>13.65</v>
      </c>
      <c r="AP8">
        <v>90.06</v>
      </c>
      <c r="AT8" t="s">
        <v>119</v>
      </c>
      <c r="AU8" t="s">
        <v>139</v>
      </c>
      <c r="AV8" t="s">
        <v>121</v>
      </c>
      <c r="AY8" t="s">
        <v>122</v>
      </c>
      <c r="AZ8" t="s">
        <v>123</v>
      </c>
      <c r="BO8" t="s">
        <v>124</v>
      </c>
      <c r="BP8" t="s">
        <v>125</v>
      </c>
      <c r="BQ8" t="s">
        <v>228</v>
      </c>
      <c r="BR8" t="s">
        <v>228</v>
      </c>
      <c r="BS8" t="s">
        <v>230</v>
      </c>
      <c r="BX8" t="s">
        <v>127</v>
      </c>
      <c r="BY8" t="s">
        <v>128</v>
      </c>
      <c r="BZ8" t="s">
        <v>235</v>
      </c>
      <c r="CA8" t="s">
        <v>228</v>
      </c>
      <c r="CB8" s="7">
        <v>18.3</v>
      </c>
      <c r="CC8">
        <v>15</v>
      </c>
      <c r="CD8" s="7">
        <v>3</v>
      </c>
      <c r="CE8" s="7">
        <v>90.06</v>
      </c>
      <c r="CF8" s="7">
        <v>26.41</v>
      </c>
      <c r="CG8" s="7">
        <f t="shared" si="1"/>
        <v>63.650000000000006</v>
      </c>
      <c r="CH8" s="7">
        <v>70.89</v>
      </c>
      <c r="CI8" s="7">
        <v>48.77</v>
      </c>
      <c r="CJ8" s="7">
        <v>13.65</v>
      </c>
      <c r="CK8" s="6">
        <v>45971.395833333299</v>
      </c>
      <c r="CL8" t="s">
        <v>5</v>
      </c>
      <c r="CN8" t="s">
        <v>129</v>
      </c>
    </row>
    <row r="9" spans="1:92">
      <c r="A9" t="s">
        <v>236</v>
      </c>
      <c r="B9" s="6">
        <v>45972.479166666701</v>
      </c>
      <c r="C9" s="7">
        <v>191.5</v>
      </c>
      <c r="D9" s="7">
        <v>15</v>
      </c>
      <c r="E9" s="7">
        <v>1024.0999999999999</v>
      </c>
      <c r="F9" s="7">
        <v>69</v>
      </c>
      <c r="H9" s="7">
        <v>17.21</v>
      </c>
      <c r="I9" s="7">
        <f t="shared" si="0"/>
        <v>52.51</v>
      </c>
      <c r="J9" s="7">
        <v>49</v>
      </c>
      <c r="K9" s="7">
        <v>83</v>
      </c>
      <c r="L9" s="7">
        <v>118</v>
      </c>
      <c r="M9" s="7">
        <v>6.73</v>
      </c>
      <c r="N9" s="7">
        <v>39</v>
      </c>
      <c r="Q9" s="7"/>
      <c r="AA9" t="s">
        <v>228</v>
      </c>
      <c r="AB9" s="6">
        <v>45972.479166666701</v>
      </c>
      <c r="AC9" t="s">
        <v>114</v>
      </c>
      <c r="AD9" t="s">
        <v>115</v>
      </c>
      <c r="AE9" t="s">
        <v>116</v>
      </c>
      <c r="AF9">
        <v>15</v>
      </c>
      <c r="AG9" t="s">
        <v>229</v>
      </c>
      <c r="AH9">
        <v>3</v>
      </c>
      <c r="AJ9" t="s">
        <v>118</v>
      </c>
      <c r="AK9" s="7">
        <v>6.4</v>
      </c>
      <c r="AN9">
        <v>81.260000000000005</v>
      </c>
      <c r="AO9">
        <v>9.83</v>
      </c>
      <c r="AP9">
        <v>69.72</v>
      </c>
      <c r="AT9" t="s">
        <v>119</v>
      </c>
      <c r="AU9" t="s">
        <v>141</v>
      </c>
      <c r="AV9" t="s">
        <v>121</v>
      </c>
      <c r="AY9" t="s">
        <v>122</v>
      </c>
      <c r="AZ9" t="s">
        <v>123</v>
      </c>
      <c r="BO9" t="s">
        <v>124</v>
      </c>
      <c r="BP9" t="s">
        <v>125</v>
      </c>
      <c r="BQ9" t="s">
        <v>228</v>
      </c>
      <c r="BR9" t="s">
        <v>228</v>
      </c>
      <c r="BS9" t="s">
        <v>230</v>
      </c>
      <c r="BX9" t="s">
        <v>127</v>
      </c>
      <c r="BY9" t="s">
        <v>128</v>
      </c>
      <c r="BZ9" t="s">
        <v>236</v>
      </c>
      <c r="CA9" t="s">
        <v>228</v>
      </c>
      <c r="CB9" s="7">
        <v>16.2</v>
      </c>
      <c r="CC9">
        <v>15</v>
      </c>
      <c r="CD9" s="7">
        <v>3</v>
      </c>
      <c r="CE9" s="7">
        <v>69.72</v>
      </c>
      <c r="CF9" s="7">
        <v>17.21</v>
      </c>
      <c r="CG9" s="7">
        <f t="shared" si="1"/>
        <v>52.51</v>
      </c>
      <c r="CH9" s="7">
        <v>81.260000000000005</v>
      </c>
      <c r="CI9" s="7">
        <v>56.07</v>
      </c>
      <c r="CJ9" s="7">
        <v>9.83</v>
      </c>
      <c r="CK9" s="6">
        <v>45972.479166666701</v>
      </c>
      <c r="CL9" t="s">
        <v>5</v>
      </c>
      <c r="CN9" t="s">
        <v>129</v>
      </c>
    </row>
    <row r="10" spans="1:92">
      <c r="A10" t="s">
        <v>237</v>
      </c>
      <c r="B10" s="6">
        <v>45973.375</v>
      </c>
      <c r="C10" s="7">
        <v>213</v>
      </c>
      <c r="D10" s="7">
        <v>15</v>
      </c>
      <c r="E10" s="7">
        <v>1016.3</v>
      </c>
      <c r="F10" s="7">
        <v>71.760000000000005</v>
      </c>
      <c r="H10" s="7">
        <v>11.15</v>
      </c>
      <c r="I10" s="7">
        <f t="shared" si="0"/>
        <v>43</v>
      </c>
      <c r="J10" s="7">
        <v>44</v>
      </c>
      <c r="K10" s="7">
        <v>82</v>
      </c>
      <c r="L10" s="7">
        <v>111</v>
      </c>
      <c r="M10" s="7">
        <v>7.39</v>
      </c>
      <c r="N10" s="7">
        <v>27</v>
      </c>
      <c r="Q10" s="7">
        <v>10.8</v>
      </c>
      <c r="AA10" t="s">
        <v>228</v>
      </c>
      <c r="AB10" s="6">
        <v>45973.375</v>
      </c>
      <c r="AC10" t="s">
        <v>114</v>
      </c>
      <c r="AD10" t="s">
        <v>115</v>
      </c>
      <c r="AE10" t="s">
        <v>116</v>
      </c>
      <c r="AF10">
        <v>15</v>
      </c>
      <c r="AG10" t="s">
        <v>229</v>
      </c>
      <c r="AH10">
        <v>3</v>
      </c>
      <c r="AJ10" t="s">
        <v>118</v>
      </c>
      <c r="AK10" s="7">
        <v>4.5</v>
      </c>
      <c r="AN10">
        <v>77.8</v>
      </c>
      <c r="AO10">
        <v>14.71</v>
      </c>
      <c r="AP10">
        <v>54.15</v>
      </c>
      <c r="AT10" t="s">
        <v>119</v>
      </c>
      <c r="AU10" t="s">
        <v>143</v>
      </c>
      <c r="AV10" t="s">
        <v>121</v>
      </c>
      <c r="AY10" t="s">
        <v>122</v>
      </c>
      <c r="AZ10" t="s">
        <v>123</v>
      </c>
      <c r="BO10" t="s">
        <v>124</v>
      </c>
      <c r="BP10" t="s">
        <v>125</v>
      </c>
      <c r="BQ10" t="s">
        <v>228</v>
      </c>
      <c r="BR10" t="s">
        <v>228</v>
      </c>
      <c r="BS10" t="s">
        <v>230</v>
      </c>
      <c r="BX10" t="s">
        <v>127</v>
      </c>
      <c r="BY10" t="s">
        <v>128</v>
      </c>
      <c r="BZ10" t="s">
        <v>237</v>
      </c>
      <c r="CA10" t="s">
        <v>228</v>
      </c>
      <c r="CB10" s="7">
        <v>18.100000000000001</v>
      </c>
      <c r="CC10">
        <v>15</v>
      </c>
      <c r="CD10" s="7">
        <v>3</v>
      </c>
      <c r="CE10" s="7">
        <v>54.15</v>
      </c>
      <c r="CF10" s="7">
        <v>11.15</v>
      </c>
      <c r="CG10" s="7">
        <f t="shared" si="1"/>
        <v>43</v>
      </c>
      <c r="CH10" s="7">
        <v>77.8</v>
      </c>
      <c r="CI10" s="7">
        <v>55.76</v>
      </c>
      <c r="CJ10" s="7">
        <v>14.71</v>
      </c>
      <c r="CK10" s="6">
        <v>45973.375</v>
      </c>
      <c r="CL10" t="s">
        <v>5</v>
      </c>
      <c r="CN10" t="s">
        <v>129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N10"/>
  <sheetViews>
    <sheetView tabSelected="1" topLeftCell="AD1" workbookViewId="0">
      <selection activeCell="AP1" sqref="AP1"/>
    </sheetView>
  </sheetViews>
  <sheetFormatPr baseColWidth="10" defaultColWidth="9" defaultRowHeight="14.25"/>
  <cols>
    <col min="1" max="3" width="18" customWidth="1"/>
    <col min="4" max="92" width="13" customWidth="1"/>
  </cols>
  <sheetData>
    <row r="1" spans="1:92" ht="60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67</v>
      </c>
      <c r="AW1" s="1" t="s">
        <v>68</v>
      </c>
      <c r="AX1" s="1" t="s">
        <v>69</v>
      </c>
      <c r="AY1" s="1" t="s">
        <v>70</v>
      </c>
      <c r="AZ1" s="1" t="s">
        <v>71</v>
      </c>
      <c r="BA1" s="1" t="s">
        <v>72</v>
      </c>
      <c r="BB1" s="1" t="s">
        <v>73</v>
      </c>
      <c r="BC1" s="1" t="s">
        <v>74</v>
      </c>
      <c r="BD1" s="1" t="s">
        <v>75</v>
      </c>
      <c r="BE1" s="1" t="s">
        <v>76</v>
      </c>
      <c r="BF1" s="1" t="s">
        <v>77</v>
      </c>
      <c r="BG1" s="1" t="s">
        <v>78</v>
      </c>
      <c r="BH1" s="1" t="s">
        <v>79</v>
      </c>
      <c r="BI1" s="1" t="s">
        <v>80</v>
      </c>
      <c r="BJ1" s="1" t="s">
        <v>81</v>
      </c>
      <c r="BK1" s="1" t="s">
        <v>82</v>
      </c>
      <c r="BL1" s="1" t="s">
        <v>83</v>
      </c>
      <c r="BM1" s="1" t="s">
        <v>84</v>
      </c>
      <c r="BN1" s="1" t="s">
        <v>85</v>
      </c>
      <c r="BO1" s="1" t="s">
        <v>86</v>
      </c>
      <c r="BP1" s="1" t="s">
        <v>87</v>
      </c>
      <c r="BQ1" s="1" t="s">
        <v>88</v>
      </c>
      <c r="BR1" s="1" t="s">
        <v>89</v>
      </c>
      <c r="BS1" s="1" t="s">
        <v>90</v>
      </c>
      <c r="BT1" s="1" t="s">
        <v>91</v>
      </c>
      <c r="BU1" s="1" t="s">
        <v>92</v>
      </c>
      <c r="BV1" s="1" t="s">
        <v>93</v>
      </c>
      <c r="BW1" s="1" t="s">
        <v>94</v>
      </c>
      <c r="BX1" s="1" t="s">
        <v>95</v>
      </c>
      <c r="BY1" s="1" t="s">
        <v>96</v>
      </c>
      <c r="BZ1" s="1" t="s">
        <v>97</v>
      </c>
      <c r="CA1" s="1" t="s">
        <v>98</v>
      </c>
      <c r="CB1" s="1" t="s">
        <v>99</v>
      </c>
      <c r="CC1" s="1" t="s">
        <v>100</v>
      </c>
      <c r="CD1" s="1" t="s">
        <v>101</v>
      </c>
      <c r="CE1" s="1" t="s">
        <v>102</v>
      </c>
      <c r="CF1" s="1" t="s">
        <v>103</v>
      </c>
      <c r="CG1" s="1" t="s">
        <v>104</v>
      </c>
      <c r="CH1" s="1" t="s">
        <v>105</v>
      </c>
      <c r="CI1" s="1" t="s">
        <v>106</v>
      </c>
      <c r="CJ1" s="1" t="s">
        <v>107</v>
      </c>
      <c r="CK1" s="1" t="s">
        <v>108</v>
      </c>
      <c r="CL1" s="1" t="s">
        <v>109</v>
      </c>
      <c r="CM1" s="1" t="s">
        <v>110</v>
      </c>
      <c r="CN1" s="1" t="s">
        <v>111</v>
      </c>
    </row>
    <row r="2" spans="1:92">
      <c r="A2" t="s">
        <v>238</v>
      </c>
      <c r="B2" s="6">
        <v>45964.708333333299</v>
      </c>
      <c r="C2" s="7">
        <v>0</v>
      </c>
      <c r="D2" s="7">
        <v>23</v>
      </c>
      <c r="E2" s="7">
        <v>1098.5</v>
      </c>
      <c r="F2" s="7"/>
      <c r="H2" s="7">
        <v>125.22</v>
      </c>
      <c r="I2" s="7">
        <f>IF(OR(CE2="",CF2=""),"",CE2-CF2)</f>
        <v>116.88</v>
      </c>
      <c r="J2" s="7">
        <v>18</v>
      </c>
      <c r="K2" s="7">
        <v>240</v>
      </c>
      <c r="L2" s="7">
        <v>214</v>
      </c>
      <c r="M2" s="7">
        <v>0.08</v>
      </c>
      <c r="N2" s="7">
        <v>4</v>
      </c>
      <c r="Q2" s="7">
        <v>0</v>
      </c>
      <c r="AA2" t="s">
        <v>239</v>
      </c>
      <c r="AB2" s="6">
        <v>45964.708333333299</v>
      </c>
      <c r="AC2" t="s">
        <v>114</v>
      </c>
      <c r="AD2" t="s">
        <v>115</v>
      </c>
      <c r="AE2" t="s">
        <v>116</v>
      </c>
      <c r="AF2">
        <v>23</v>
      </c>
      <c r="AG2" t="s">
        <v>240</v>
      </c>
      <c r="AH2">
        <v>3</v>
      </c>
      <c r="AJ2" t="s">
        <v>118</v>
      </c>
      <c r="AK2" s="7">
        <v>24.1</v>
      </c>
      <c r="AN2">
        <v>15</v>
      </c>
      <c r="AP2">
        <v>242.1</v>
      </c>
      <c r="AT2" t="s">
        <v>119</v>
      </c>
      <c r="AU2" t="s">
        <v>120</v>
      </c>
      <c r="AV2" t="s">
        <v>121</v>
      </c>
      <c r="AY2" t="s">
        <v>122</v>
      </c>
      <c r="AZ2" t="s">
        <v>123</v>
      </c>
      <c r="BO2" t="s">
        <v>124</v>
      </c>
      <c r="BP2" t="s">
        <v>125</v>
      </c>
      <c r="BQ2" t="s">
        <v>239</v>
      </c>
      <c r="BR2" t="s">
        <v>239</v>
      </c>
      <c r="BS2" t="s">
        <v>241</v>
      </c>
      <c r="BX2" t="s">
        <v>127</v>
      </c>
      <c r="BY2" t="s">
        <v>128</v>
      </c>
      <c r="BZ2" t="s">
        <v>238</v>
      </c>
      <c r="CA2" t="s">
        <v>239</v>
      </c>
      <c r="CB2" s="7">
        <v>23.4</v>
      </c>
      <c r="CC2">
        <v>23</v>
      </c>
      <c r="CD2" s="7">
        <v>3</v>
      </c>
      <c r="CE2" s="7">
        <v>242.1</v>
      </c>
      <c r="CF2" s="7">
        <v>125.22</v>
      </c>
      <c r="CG2" s="7">
        <f>IF(OR(CE2="",CF2=""),"",CE2-CF2)</f>
        <v>116.88</v>
      </c>
      <c r="CH2" s="7">
        <v>15</v>
      </c>
      <c r="CI2" s="7"/>
      <c r="CJ2" s="7"/>
      <c r="CK2" s="6">
        <v>45964.708333333299</v>
      </c>
      <c r="CL2" t="s">
        <v>5</v>
      </c>
      <c r="CN2" t="s">
        <v>129</v>
      </c>
    </row>
    <row r="3" spans="1:92">
      <c r="A3" t="s">
        <v>242</v>
      </c>
      <c r="B3" s="6">
        <v>45965.416666666701</v>
      </c>
      <c r="C3" s="7">
        <v>17</v>
      </c>
      <c r="D3" s="7">
        <v>23</v>
      </c>
      <c r="E3" s="7">
        <v>1094.3</v>
      </c>
      <c r="F3" s="7">
        <v>60.34</v>
      </c>
      <c r="H3" s="7">
        <v>113.46</v>
      </c>
      <c r="I3" s="7">
        <f t="shared" ref="I3:I10" si="0">IF(OR(CE3="",CF3=""),"",CE3-CF3)</f>
        <v>117.3</v>
      </c>
      <c r="J3" s="7">
        <v>49</v>
      </c>
      <c r="K3" s="7">
        <v>247</v>
      </c>
      <c r="L3" s="7">
        <v>252</v>
      </c>
      <c r="M3" s="7">
        <v>1.4</v>
      </c>
      <c r="N3" s="7">
        <v>34</v>
      </c>
      <c r="Q3" s="7"/>
      <c r="AA3" t="s">
        <v>239</v>
      </c>
      <c r="AB3" s="6">
        <v>45965.416666666701</v>
      </c>
      <c r="AC3" t="s">
        <v>114</v>
      </c>
      <c r="AD3" t="s">
        <v>115</v>
      </c>
      <c r="AE3" t="s">
        <v>116</v>
      </c>
      <c r="AF3">
        <v>23</v>
      </c>
      <c r="AG3" t="s">
        <v>240</v>
      </c>
      <c r="AH3">
        <v>3</v>
      </c>
      <c r="AJ3" t="s">
        <v>118</v>
      </c>
      <c r="AK3" s="7">
        <v>23.2</v>
      </c>
      <c r="AN3">
        <v>27.11</v>
      </c>
      <c r="AO3">
        <v>15.86</v>
      </c>
      <c r="AP3">
        <v>230.76</v>
      </c>
      <c r="AT3" t="s">
        <v>119</v>
      </c>
      <c r="AU3" t="s">
        <v>131</v>
      </c>
      <c r="AV3" t="s">
        <v>121</v>
      </c>
      <c r="AY3" t="s">
        <v>122</v>
      </c>
      <c r="AZ3" t="s">
        <v>123</v>
      </c>
      <c r="BO3" t="s">
        <v>124</v>
      </c>
      <c r="BP3" t="s">
        <v>125</v>
      </c>
      <c r="BQ3" t="s">
        <v>239</v>
      </c>
      <c r="BR3" t="s">
        <v>239</v>
      </c>
      <c r="BS3" t="s">
        <v>241</v>
      </c>
      <c r="BX3" t="s">
        <v>127</v>
      </c>
      <c r="BY3" t="s">
        <v>128</v>
      </c>
      <c r="BZ3" t="s">
        <v>242</v>
      </c>
      <c r="CA3" t="s">
        <v>239</v>
      </c>
      <c r="CB3" s="7">
        <v>22.7</v>
      </c>
      <c r="CC3">
        <v>23</v>
      </c>
      <c r="CD3" s="7">
        <v>3</v>
      </c>
      <c r="CE3" s="7">
        <v>230.76</v>
      </c>
      <c r="CF3" s="7">
        <v>113.46</v>
      </c>
      <c r="CG3" s="7">
        <f t="shared" ref="CG3:CG10" si="1">IF(OR(CE3="",CF3=""),"",CE3-CF3)</f>
        <v>117.3</v>
      </c>
      <c r="CH3" s="7">
        <v>27.11</v>
      </c>
      <c r="CI3" s="7">
        <v>16.36</v>
      </c>
      <c r="CJ3" s="7">
        <v>15.86</v>
      </c>
      <c r="CK3" s="6">
        <v>45965.416666666701</v>
      </c>
      <c r="CL3" t="s">
        <v>5</v>
      </c>
      <c r="CN3" t="s">
        <v>129</v>
      </c>
    </row>
    <row r="4" spans="1:92">
      <c r="A4" t="s">
        <v>243</v>
      </c>
      <c r="B4" s="6">
        <v>45966.375</v>
      </c>
      <c r="C4" s="7">
        <v>40</v>
      </c>
      <c r="D4" s="7">
        <v>23</v>
      </c>
      <c r="E4" s="7">
        <v>1067.4000000000001</v>
      </c>
      <c r="F4" s="7">
        <v>72.7</v>
      </c>
      <c r="H4" s="7">
        <v>72.34</v>
      </c>
      <c r="I4" s="7">
        <f t="shared" si="0"/>
        <v>97.199999999999989</v>
      </c>
      <c r="J4" s="7">
        <v>17</v>
      </c>
      <c r="K4" s="7">
        <v>74</v>
      </c>
      <c r="L4" s="7">
        <v>77</v>
      </c>
      <c r="M4" s="7">
        <v>4.84</v>
      </c>
      <c r="N4" s="7">
        <v>91</v>
      </c>
      <c r="Q4" s="7"/>
      <c r="AA4" t="s">
        <v>239</v>
      </c>
      <c r="AB4" s="6">
        <v>45966.375</v>
      </c>
      <c r="AC4" t="s">
        <v>114</v>
      </c>
      <c r="AD4" t="s">
        <v>115</v>
      </c>
      <c r="AE4" t="s">
        <v>116</v>
      </c>
      <c r="AF4">
        <v>23</v>
      </c>
      <c r="AG4" t="s">
        <v>240</v>
      </c>
      <c r="AH4">
        <v>3</v>
      </c>
      <c r="AJ4" t="s">
        <v>118</v>
      </c>
      <c r="AK4" s="7">
        <v>17.100000000000001</v>
      </c>
      <c r="AN4">
        <v>58.53</v>
      </c>
      <c r="AO4">
        <v>13.78</v>
      </c>
      <c r="AP4">
        <v>169.54</v>
      </c>
      <c r="AT4" t="s">
        <v>119</v>
      </c>
      <c r="AU4" t="s">
        <v>133</v>
      </c>
      <c r="AV4" t="s">
        <v>121</v>
      </c>
      <c r="AY4" t="s">
        <v>122</v>
      </c>
      <c r="AZ4" t="s">
        <v>123</v>
      </c>
      <c r="BO4" t="s">
        <v>124</v>
      </c>
      <c r="BP4" t="s">
        <v>125</v>
      </c>
      <c r="BQ4" t="s">
        <v>239</v>
      </c>
      <c r="BR4" t="s">
        <v>239</v>
      </c>
      <c r="BS4" t="s">
        <v>241</v>
      </c>
      <c r="BX4" t="s">
        <v>127</v>
      </c>
      <c r="BY4" t="s">
        <v>128</v>
      </c>
      <c r="BZ4" t="s">
        <v>243</v>
      </c>
      <c r="CA4" t="s">
        <v>239</v>
      </c>
      <c r="CB4" s="7">
        <v>23</v>
      </c>
      <c r="CC4">
        <v>23</v>
      </c>
      <c r="CD4" s="7">
        <v>3</v>
      </c>
      <c r="CE4" s="7">
        <v>169.54</v>
      </c>
      <c r="CF4" s="7">
        <v>72.34</v>
      </c>
      <c r="CG4" s="7">
        <f t="shared" si="1"/>
        <v>97.199999999999989</v>
      </c>
      <c r="CH4" s="7">
        <v>58.53</v>
      </c>
      <c r="CI4" s="7">
        <v>42.55</v>
      </c>
      <c r="CJ4" s="7">
        <v>13.78</v>
      </c>
      <c r="CK4" s="6">
        <v>45966.375</v>
      </c>
      <c r="CL4" t="s">
        <v>5</v>
      </c>
      <c r="CN4" t="s">
        <v>129</v>
      </c>
    </row>
    <row r="5" spans="1:92">
      <c r="A5" t="s">
        <v>244</v>
      </c>
      <c r="B5" s="6">
        <v>45967.375</v>
      </c>
      <c r="C5" s="7">
        <v>64</v>
      </c>
      <c r="D5" s="7">
        <v>23</v>
      </c>
      <c r="E5" s="7">
        <v>1041.7</v>
      </c>
      <c r="F5" s="7">
        <v>74.67</v>
      </c>
      <c r="H5" s="7">
        <v>39.090000000000003</v>
      </c>
      <c r="I5" s="7">
        <f t="shared" si="0"/>
        <v>75.33</v>
      </c>
      <c r="J5" s="7">
        <v>17</v>
      </c>
      <c r="K5" s="7">
        <v>11</v>
      </c>
      <c r="L5" s="7">
        <v>26</v>
      </c>
      <c r="M5" s="7">
        <v>6.39</v>
      </c>
      <c r="N5" s="7">
        <v>66</v>
      </c>
      <c r="Q5" s="7"/>
      <c r="AA5" t="s">
        <v>239</v>
      </c>
      <c r="AB5" s="6">
        <v>45967.375</v>
      </c>
      <c r="AC5" t="s">
        <v>114</v>
      </c>
      <c r="AD5" t="s">
        <v>115</v>
      </c>
      <c r="AE5" t="s">
        <v>116</v>
      </c>
      <c r="AF5">
        <v>23</v>
      </c>
      <c r="AG5" t="s">
        <v>240</v>
      </c>
      <c r="AH5">
        <v>3</v>
      </c>
      <c r="AJ5" t="s">
        <v>118</v>
      </c>
      <c r="AK5" s="7">
        <v>11.1</v>
      </c>
      <c r="AN5">
        <v>64.290000000000006</v>
      </c>
      <c r="AO5">
        <v>9.08</v>
      </c>
      <c r="AP5">
        <v>114.42</v>
      </c>
      <c r="AT5" t="s">
        <v>119</v>
      </c>
      <c r="AU5" t="s">
        <v>135</v>
      </c>
      <c r="AV5" t="s">
        <v>121</v>
      </c>
      <c r="AY5" t="s">
        <v>122</v>
      </c>
      <c r="AZ5" t="s">
        <v>123</v>
      </c>
      <c r="BO5" t="s">
        <v>124</v>
      </c>
      <c r="BP5" t="s">
        <v>125</v>
      </c>
      <c r="BQ5" t="s">
        <v>239</v>
      </c>
      <c r="BR5" t="s">
        <v>239</v>
      </c>
      <c r="BS5" t="s">
        <v>241</v>
      </c>
      <c r="BX5" t="s">
        <v>127</v>
      </c>
      <c r="BY5" t="s">
        <v>128</v>
      </c>
      <c r="BZ5" t="s">
        <v>244</v>
      </c>
      <c r="CA5" t="s">
        <v>239</v>
      </c>
      <c r="CB5" s="7">
        <v>23</v>
      </c>
      <c r="CC5">
        <v>23</v>
      </c>
      <c r="CD5" s="7">
        <v>3</v>
      </c>
      <c r="CE5" s="7">
        <v>114.42</v>
      </c>
      <c r="CF5" s="7">
        <v>39.090000000000003</v>
      </c>
      <c r="CG5" s="7">
        <f t="shared" si="1"/>
        <v>75.33</v>
      </c>
      <c r="CH5" s="7">
        <v>64.290000000000006</v>
      </c>
      <c r="CI5" s="7">
        <v>48</v>
      </c>
      <c r="CJ5" s="7">
        <v>9.08</v>
      </c>
      <c r="CK5" s="6">
        <v>45967.375</v>
      </c>
      <c r="CL5" t="s">
        <v>5</v>
      </c>
      <c r="CN5" t="s">
        <v>129</v>
      </c>
    </row>
    <row r="6" spans="1:92">
      <c r="A6" t="s">
        <v>306</v>
      </c>
      <c r="B6" s="6">
        <f>B2+3</f>
        <v>45967.708333333299</v>
      </c>
      <c r="C6" s="7">
        <v>72</v>
      </c>
      <c r="D6" s="7"/>
      <c r="E6" s="7"/>
      <c r="F6" s="7"/>
      <c r="H6" s="7"/>
      <c r="I6" s="7"/>
      <c r="J6" s="7"/>
      <c r="K6" s="7"/>
      <c r="L6" s="7"/>
      <c r="M6" s="7"/>
      <c r="N6" s="7"/>
      <c r="Q6" s="7"/>
      <c r="R6">
        <v>100</v>
      </c>
      <c r="AB6" s="6"/>
      <c r="AK6" s="7"/>
      <c r="CB6" s="7"/>
      <c r="CD6" s="7"/>
      <c r="CE6" s="7"/>
      <c r="CF6" s="7"/>
      <c r="CG6" s="7"/>
      <c r="CH6" s="7"/>
      <c r="CI6" s="7"/>
      <c r="CJ6" s="7"/>
      <c r="CK6" s="6"/>
    </row>
    <row r="7" spans="1:92">
      <c r="A7" t="s">
        <v>245</v>
      </c>
      <c r="B7" s="6">
        <v>45968.395833333299</v>
      </c>
      <c r="C7" s="7">
        <v>88.5</v>
      </c>
      <c r="D7" s="7">
        <v>23</v>
      </c>
      <c r="E7" s="7">
        <v>1024.0999999999999</v>
      </c>
      <c r="F7" s="7">
        <v>63.33</v>
      </c>
      <c r="H7" s="7">
        <v>20.309999999999999</v>
      </c>
      <c r="I7" s="7">
        <f t="shared" si="0"/>
        <v>55.349999999999994</v>
      </c>
      <c r="J7" s="7">
        <v>75</v>
      </c>
      <c r="K7" s="7">
        <v>68</v>
      </c>
      <c r="L7" s="7">
        <v>130</v>
      </c>
      <c r="M7" s="7">
        <v>6.78</v>
      </c>
      <c r="N7" s="7">
        <v>52</v>
      </c>
      <c r="Q7" s="7">
        <v>9.61</v>
      </c>
      <c r="AA7" t="s">
        <v>239</v>
      </c>
      <c r="AB7" s="6">
        <v>45968.395833333299</v>
      </c>
      <c r="AC7" t="s">
        <v>114</v>
      </c>
      <c r="AD7" t="s">
        <v>115</v>
      </c>
      <c r="AE7" t="s">
        <v>116</v>
      </c>
      <c r="AF7">
        <v>23</v>
      </c>
      <c r="AG7" t="s">
        <v>240</v>
      </c>
      <c r="AH7">
        <v>3</v>
      </c>
      <c r="AJ7" t="s">
        <v>118</v>
      </c>
      <c r="AK7" s="7">
        <v>6.8</v>
      </c>
      <c r="AN7">
        <v>76.650000000000006</v>
      </c>
      <c r="AO7">
        <v>12.53</v>
      </c>
      <c r="AP7">
        <v>75.66</v>
      </c>
      <c r="AT7" t="s">
        <v>119</v>
      </c>
      <c r="AU7" t="s">
        <v>137</v>
      </c>
      <c r="AV7" t="s">
        <v>121</v>
      </c>
      <c r="AY7" t="s">
        <v>122</v>
      </c>
      <c r="AZ7" t="s">
        <v>123</v>
      </c>
      <c r="BO7" t="s">
        <v>124</v>
      </c>
      <c r="BP7" t="s">
        <v>125</v>
      </c>
      <c r="BQ7" t="s">
        <v>239</v>
      </c>
      <c r="BR7" t="s">
        <v>239</v>
      </c>
      <c r="BS7" t="s">
        <v>241</v>
      </c>
      <c r="BX7" t="s">
        <v>127</v>
      </c>
      <c r="BY7" t="s">
        <v>128</v>
      </c>
      <c r="BZ7" t="s">
        <v>245</v>
      </c>
      <c r="CA7" t="s">
        <v>239</v>
      </c>
      <c r="CB7" s="7">
        <v>22.9</v>
      </c>
      <c r="CC7">
        <v>23</v>
      </c>
      <c r="CD7" s="7">
        <v>3</v>
      </c>
      <c r="CE7" s="7">
        <v>75.66</v>
      </c>
      <c r="CF7" s="7">
        <v>20.309999999999999</v>
      </c>
      <c r="CG7" s="7">
        <f t="shared" si="1"/>
        <v>55.349999999999994</v>
      </c>
      <c r="CH7" s="7">
        <v>76.650000000000006</v>
      </c>
      <c r="CI7" s="7">
        <v>48.54</v>
      </c>
      <c r="CJ7" s="7">
        <v>12.53</v>
      </c>
      <c r="CK7" s="6">
        <v>45968.395833333299</v>
      </c>
      <c r="CL7" t="s">
        <v>5</v>
      </c>
      <c r="CN7" t="s">
        <v>129</v>
      </c>
    </row>
    <row r="8" spans="1:92">
      <c r="A8" t="s">
        <v>246</v>
      </c>
      <c r="B8" s="6">
        <v>45971.395833333299</v>
      </c>
      <c r="C8" s="7">
        <v>160.5</v>
      </c>
      <c r="D8" s="7">
        <v>23</v>
      </c>
      <c r="E8" s="7">
        <v>994.3</v>
      </c>
      <c r="F8" s="7">
        <v>58.31</v>
      </c>
      <c r="H8" s="7">
        <v>1.43</v>
      </c>
      <c r="I8" s="7">
        <f t="shared" si="0"/>
        <v>9.7000000000000011</v>
      </c>
      <c r="J8" s="7">
        <v>72</v>
      </c>
      <c r="K8" s="7">
        <v>62</v>
      </c>
      <c r="L8" s="7">
        <v>123</v>
      </c>
      <c r="M8" s="7">
        <v>7.37</v>
      </c>
      <c r="N8" s="7">
        <v>33</v>
      </c>
      <c r="Q8" s="7">
        <v>13.8</v>
      </c>
      <c r="AA8" t="s">
        <v>239</v>
      </c>
      <c r="AB8" s="6">
        <v>45971.395833333299</v>
      </c>
      <c r="AC8" t="s">
        <v>114</v>
      </c>
      <c r="AD8" t="s">
        <v>115</v>
      </c>
      <c r="AE8" t="s">
        <v>116</v>
      </c>
      <c r="AF8">
        <v>23</v>
      </c>
      <c r="AG8" t="s">
        <v>240</v>
      </c>
      <c r="AH8">
        <v>3</v>
      </c>
      <c r="AJ8" t="s">
        <v>118</v>
      </c>
      <c r="AK8" s="7">
        <v>-0.8</v>
      </c>
      <c r="AN8">
        <v>73.5</v>
      </c>
      <c r="AO8">
        <v>9.1999999999999993</v>
      </c>
      <c r="AP8">
        <v>11.13</v>
      </c>
      <c r="AT8" t="s">
        <v>119</v>
      </c>
      <c r="AU8" t="s">
        <v>139</v>
      </c>
      <c r="AV8" t="s">
        <v>121</v>
      </c>
      <c r="AY8" t="s">
        <v>122</v>
      </c>
      <c r="AZ8" t="s">
        <v>123</v>
      </c>
      <c r="BO8" t="s">
        <v>124</v>
      </c>
      <c r="BP8" t="s">
        <v>125</v>
      </c>
      <c r="BQ8" t="s">
        <v>239</v>
      </c>
      <c r="BR8" t="s">
        <v>239</v>
      </c>
      <c r="BS8" t="s">
        <v>241</v>
      </c>
      <c r="BX8" t="s">
        <v>127</v>
      </c>
      <c r="BY8" t="s">
        <v>128</v>
      </c>
      <c r="BZ8" t="s">
        <v>246</v>
      </c>
      <c r="CA8" t="s">
        <v>239</v>
      </c>
      <c r="CB8" s="7">
        <v>22.9</v>
      </c>
      <c r="CC8">
        <v>23</v>
      </c>
      <c r="CD8" s="7">
        <v>3</v>
      </c>
      <c r="CE8" s="7">
        <v>11.13</v>
      </c>
      <c r="CF8" s="7">
        <v>1.43</v>
      </c>
      <c r="CG8" s="7">
        <f t="shared" si="1"/>
        <v>9.7000000000000011</v>
      </c>
      <c r="CH8" s="7">
        <v>73.5</v>
      </c>
      <c r="CI8" s="7">
        <v>42.86</v>
      </c>
      <c r="CJ8" s="7">
        <v>9.1999999999999993</v>
      </c>
      <c r="CK8" s="6">
        <v>45971.395833333299</v>
      </c>
      <c r="CL8" t="s">
        <v>5</v>
      </c>
      <c r="CN8" t="s">
        <v>129</v>
      </c>
    </row>
    <row r="9" spans="1:92">
      <c r="A9" t="s">
        <v>247</v>
      </c>
      <c r="B9" s="6">
        <v>45972.479166666701</v>
      </c>
      <c r="C9" s="7">
        <v>186.5</v>
      </c>
      <c r="D9" s="7">
        <v>23</v>
      </c>
      <c r="E9" s="7">
        <v>989.5</v>
      </c>
      <c r="F9" s="7">
        <v>55.64</v>
      </c>
      <c r="H9" s="7">
        <v>0.93</v>
      </c>
      <c r="I9" s="7">
        <f t="shared" si="0"/>
        <v>0.71999999999999986</v>
      </c>
      <c r="J9" s="7">
        <v>81</v>
      </c>
      <c r="K9" s="7">
        <v>68</v>
      </c>
      <c r="L9" s="7">
        <v>137</v>
      </c>
      <c r="M9" s="7">
        <v>7.9</v>
      </c>
      <c r="N9" s="7">
        <v>32</v>
      </c>
      <c r="Q9" s="7"/>
      <c r="AA9" t="s">
        <v>239</v>
      </c>
      <c r="AB9" s="6">
        <v>45972.479166666701</v>
      </c>
      <c r="AC9" t="s">
        <v>114</v>
      </c>
      <c r="AD9" t="s">
        <v>115</v>
      </c>
      <c r="AE9" t="s">
        <v>116</v>
      </c>
      <c r="AF9">
        <v>23</v>
      </c>
      <c r="AG9" t="s">
        <v>240</v>
      </c>
      <c r="AH9">
        <v>3</v>
      </c>
      <c r="AJ9" t="s">
        <v>118</v>
      </c>
      <c r="AK9" s="7">
        <v>-2.1</v>
      </c>
      <c r="AN9">
        <v>74.959999999999994</v>
      </c>
      <c r="AO9">
        <v>9.73</v>
      </c>
      <c r="AP9">
        <v>1.65</v>
      </c>
      <c r="AT9" t="s">
        <v>119</v>
      </c>
      <c r="AU9" t="s">
        <v>141</v>
      </c>
      <c r="AV9" t="s">
        <v>121</v>
      </c>
      <c r="AY9" t="s">
        <v>122</v>
      </c>
      <c r="AZ9" t="s">
        <v>123</v>
      </c>
      <c r="BO9" t="s">
        <v>124</v>
      </c>
      <c r="BP9" t="s">
        <v>125</v>
      </c>
      <c r="BQ9" t="s">
        <v>239</v>
      </c>
      <c r="BR9" t="s">
        <v>239</v>
      </c>
      <c r="BS9" t="s">
        <v>241</v>
      </c>
      <c r="BX9" t="s">
        <v>127</v>
      </c>
      <c r="BY9" t="s">
        <v>128</v>
      </c>
      <c r="BZ9" t="s">
        <v>247</v>
      </c>
      <c r="CA9" t="s">
        <v>239</v>
      </c>
      <c r="CB9" s="7">
        <v>22.8</v>
      </c>
      <c r="CC9">
        <v>23</v>
      </c>
      <c r="CD9" s="7">
        <v>3</v>
      </c>
      <c r="CE9" s="7">
        <v>1.65</v>
      </c>
      <c r="CF9" s="7">
        <v>0.93</v>
      </c>
      <c r="CG9" s="7">
        <f t="shared" si="1"/>
        <v>0.71999999999999986</v>
      </c>
      <c r="CH9" s="7">
        <v>74.959999999999994</v>
      </c>
      <c r="CI9" s="7">
        <v>41.71</v>
      </c>
      <c r="CJ9" s="7">
        <v>9.73</v>
      </c>
      <c r="CK9" s="6">
        <v>45972.479166666701</v>
      </c>
      <c r="CL9" t="s">
        <v>5</v>
      </c>
      <c r="CN9" t="s">
        <v>129</v>
      </c>
    </row>
    <row r="10" spans="1:92">
      <c r="A10" t="s">
        <v>248</v>
      </c>
      <c r="B10" s="6">
        <v>45973.375</v>
      </c>
      <c r="C10" s="7">
        <v>208</v>
      </c>
      <c r="D10" s="7">
        <v>23</v>
      </c>
      <c r="E10" s="7">
        <v>989</v>
      </c>
      <c r="F10" s="7">
        <v>54.08</v>
      </c>
      <c r="H10" s="7">
        <v>0.6</v>
      </c>
      <c r="I10" s="7">
        <f t="shared" si="0"/>
        <v>0.12</v>
      </c>
      <c r="J10" s="7">
        <v>77</v>
      </c>
      <c r="K10" s="7">
        <v>63</v>
      </c>
      <c r="L10" s="7">
        <v>129</v>
      </c>
      <c r="M10" s="7">
        <v>7.86</v>
      </c>
      <c r="N10" s="7">
        <v>30</v>
      </c>
      <c r="Q10" s="7">
        <v>14.5</v>
      </c>
      <c r="AA10" t="s">
        <v>239</v>
      </c>
      <c r="AB10" s="6">
        <v>45973.375</v>
      </c>
      <c r="AC10" t="s">
        <v>114</v>
      </c>
      <c r="AD10" t="s">
        <v>115</v>
      </c>
      <c r="AE10" t="s">
        <v>116</v>
      </c>
      <c r="AF10">
        <v>23</v>
      </c>
      <c r="AG10" t="s">
        <v>240</v>
      </c>
      <c r="AH10">
        <v>3</v>
      </c>
      <c r="AJ10" t="s">
        <v>118</v>
      </c>
      <c r="AK10" s="7">
        <v>-2.2000000000000002</v>
      </c>
      <c r="AN10">
        <v>72.430000000000007</v>
      </c>
      <c r="AO10">
        <v>11.13</v>
      </c>
      <c r="AP10">
        <v>0.72</v>
      </c>
      <c r="AT10" t="s">
        <v>119</v>
      </c>
      <c r="AU10" t="s">
        <v>143</v>
      </c>
      <c r="AV10" t="s">
        <v>121</v>
      </c>
      <c r="AY10" t="s">
        <v>122</v>
      </c>
      <c r="AZ10" t="s">
        <v>123</v>
      </c>
      <c r="BO10" t="s">
        <v>124</v>
      </c>
      <c r="BP10" t="s">
        <v>125</v>
      </c>
      <c r="BQ10" t="s">
        <v>239</v>
      </c>
      <c r="BR10" t="s">
        <v>239</v>
      </c>
      <c r="BS10" t="s">
        <v>241</v>
      </c>
      <c r="BX10" t="s">
        <v>127</v>
      </c>
      <c r="BY10" t="s">
        <v>128</v>
      </c>
      <c r="BZ10" t="s">
        <v>248</v>
      </c>
      <c r="CA10" t="s">
        <v>239</v>
      </c>
      <c r="CB10" s="7">
        <v>22.7</v>
      </c>
      <c r="CC10">
        <v>23</v>
      </c>
      <c r="CD10" s="7">
        <v>3</v>
      </c>
      <c r="CE10" s="7">
        <v>0.72</v>
      </c>
      <c r="CF10" s="7">
        <v>0.6</v>
      </c>
      <c r="CG10" s="7">
        <f t="shared" si="1"/>
        <v>0.12</v>
      </c>
      <c r="CH10" s="7">
        <v>72.430000000000007</v>
      </c>
      <c r="CI10" s="7">
        <v>39.17</v>
      </c>
      <c r="CJ10" s="7">
        <v>11.13</v>
      </c>
      <c r="CK10" s="6">
        <v>45973.375</v>
      </c>
      <c r="CL10" t="s">
        <v>5</v>
      </c>
      <c r="CN10" t="s">
        <v>129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11"/>
  <sheetViews>
    <sheetView workbookViewId="0">
      <selection activeCell="C4" sqref="C4"/>
    </sheetView>
  </sheetViews>
  <sheetFormatPr baseColWidth="10" defaultColWidth="9" defaultRowHeight="14.25"/>
  <cols>
    <col min="1" max="3" width="18" customWidth="1"/>
    <col min="4" max="25" width="13" customWidth="1"/>
  </cols>
  <sheetData>
    <row r="1" spans="1:25" ht="45">
      <c r="A1" s="1" t="s">
        <v>98</v>
      </c>
      <c r="B1" s="1" t="s">
        <v>100</v>
      </c>
      <c r="C1" s="1" t="s">
        <v>101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259</v>
      </c>
      <c r="O1" s="1" t="s">
        <v>260</v>
      </c>
      <c r="P1" s="1" t="s">
        <v>261</v>
      </c>
      <c r="Q1" s="1" t="s">
        <v>262</v>
      </c>
      <c r="R1" s="1" t="s">
        <v>263</v>
      </c>
      <c r="S1" s="1" t="s">
        <v>264</v>
      </c>
      <c r="T1" s="1" t="s">
        <v>265</v>
      </c>
      <c r="U1" s="1" t="s">
        <v>266</v>
      </c>
      <c r="V1" s="1" t="s">
        <v>267</v>
      </c>
      <c r="W1" s="1" t="s">
        <v>268</v>
      </c>
      <c r="X1" s="1" t="s">
        <v>269</v>
      </c>
      <c r="Y1" s="1" t="s">
        <v>110</v>
      </c>
    </row>
    <row r="2" spans="1:25">
      <c r="A2" t="s">
        <v>113</v>
      </c>
      <c r="B2" s="7">
        <v>15</v>
      </c>
      <c r="C2" s="7">
        <v>1</v>
      </c>
      <c r="D2" s="7">
        <v>9</v>
      </c>
      <c r="E2" s="7">
        <v>0</v>
      </c>
      <c r="F2" s="7">
        <v>213</v>
      </c>
      <c r="G2" s="7">
        <v>16.399999999999999</v>
      </c>
      <c r="H2" s="7">
        <v>23.6</v>
      </c>
      <c r="I2" s="7">
        <v>23.7</v>
      </c>
      <c r="J2" s="7">
        <v>1098.5</v>
      </c>
      <c r="K2" s="7">
        <v>1098.5999999999999</v>
      </c>
      <c r="L2" s="7">
        <v>234.5</v>
      </c>
      <c r="M2" s="7">
        <v>245.86</v>
      </c>
      <c r="N2" s="7">
        <v>119.63</v>
      </c>
      <c r="O2" s="7">
        <v>125.34</v>
      </c>
      <c r="P2" s="7">
        <v>114.87</v>
      </c>
      <c r="Q2" s="7">
        <v>120.52000000000001</v>
      </c>
      <c r="R2" s="7">
        <v>287</v>
      </c>
      <c r="S2" s="7">
        <v>224</v>
      </c>
      <c r="T2" s="7">
        <v>0</v>
      </c>
      <c r="U2" s="7">
        <v>0.34</v>
      </c>
      <c r="V2" s="7">
        <v>15</v>
      </c>
      <c r="W2" s="7">
        <v>46.24</v>
      </c>
      <c r="X2" s="7">
        <v>63.57</v>
      </c>
      <c r="Y2" s="7"/>
    </row>
    <row r="3" spans="1:25">
      <c r="A3" t="s">
        <v>147</v>
      </c>
      <c r="B3" s="7">
        <v>15</v>
      </c>
      <c r="C3" s="7">
        <v>4</v>
      </c>
      <c r="D3" s="7">
        <v>9</v>
      </c>
      <c r="E3" s="7">
        <v>0</v>
      </c>
      <c r="F3" s="7">
        <v>213</v>
      </c>
      <c r="G3" s="7">
        <v>16.422222222222224</v>
      </c>
      <c r="H3" s="7">
        <v>23.3</v>
      </c>
      <c r="I3" s="7">
        <v>23.4</v>
      </c>
      <c r="J3" s="7">
        <v>1097.0999999999999</v>
      </c>
      <c r="K3" s="7">
        <v>1097.0999999999999</v>
      </c>
      <c r="L3" s="7">
        <v>234.26</v>
      </c>
      <c r="M3" s="7">
        <v>243.91</v>
      </c>
      <c r="N3" s="7">
        <v>118.87</v>
      </c>
      <c r="O3" s="7">
        <v>124.28</v>
      </c>
      <c r="P3" s="7">
        <v>115.38999999999999</v>
      </c>
      <c r="Q3" s="7">
        <v>119.63</v>
      </c>
      <c r="R3" s="7">
        <v>285</v>
      </c>
      <c r="S3" s="7">
        <v>218</v>
      </c>
      <c r="T3" s="7">
        <v>0</v>
      </c>
      <c r="U3" s="7">
        <v>0.38</v>
      </c>
      <c r="V3" s="7">
        <v>15</v>
      </c>
      <c r="W3" s="7">
        <v>54.92</v>
      </c>
      <c r="X3" s="7">
        <v>69.760000000000005</v>
      </c>
      <c r="Y3" s="7"/>
    </row>
    <row r="4" spans="1:25">
      <c r="A4" t="s">
        <v>159</v>
      </c>
      <c r="B4" s="7">
        <v>23</v>
      </c>
      <c r="C4" s="7">
        <v>1</v>
      </c>
      <c r="D4" s="7">
        <v>9</v>
      </c>
      <c r="E4" s="7">
        <v>0</v>
      </c>
      <c r="F4" s="7">
        <v>213</v>
      </c>
      <c r="G4" s="7">
        <v>22.633333333333333</v>
      </c>
      <c r="H4" s="7">
        <v>23</v>
      </c>
      <c r="I4" s="7">
        <v>23.1</v>
      </c>
      <c r="J4" s="7">
        <v>1093.5</v>
      </c>
      <c r="K4" s="7">
        <v>1095.4000000000001</v>
      </c>
      <c r="L4" s="7">
        <v>232.68</v>
      </c>
      <c r="M4" s="7">
        <v>235.08</v>
      </c>
      <c r="N4" s="7">
        <v>117.57</v>
      </c>
      <c r="O4" s="7">
        <v>120.89</v>
      </c>
      <c r="P4" s="7">
        <v>115.11000000000001</v>
      </c>
      <c r="Q4" s="7">
        <v>114.19000000000001</v>
      </c>
      <c r="R4" s="7">
        <v>291</v>
      </c>
      <c r="S4" s="7">
        <v>236</v>
      </c>
      <c r="T4" s="7">
        <v>0</v>
      </c>
      <c r="U4" s="7">
        <v>0.38</v>
      </c>
      <c r="V4" s="7">
        <v>15</v>
      </c>
      <c r="W4" s="7">
        <v>39.25</v>
      </c>
      <c r="X4" s="7">
        <v>48.48</v>
      </c>
      <c r="Y4" s="7" t="s">
        <v>164</v>
      </c>
    </row>
    <row r="5" spans="1:25">
      <c r="A5" t="s">
        <v>172</v>
      </c>
      <c r="B5" s="7">
        <v>19</v>
      </c>
      <c r="C5" s="7">
        <v>1</v>
      </c>
      <c r="D5" s="7">
        <v>9</v>
      </c>
      <c r="E5" s="7">
        <v>0</v>
      </c>
      <c r="F5" s="7">
        <v>213.5</v>
      </c>
      <c r="G5" s="7">
        <v>19.822222222222223</v>
      </c>
      <c r="H5" s="7">
        <v>23.8</v>
      </c>
      <c r="I5" s="7">
        <v>23.9</v>
      </c>
      <c r="J5" s="7">
        <v>1097.8</v>
      </c>
      <c r="K5" s="7">
        <v>1097.9000000000001</v>
      </c>
      <c r="L5" s="7">
        <v>237.31</v>
      </c>
      <c r="M5" s="7">
        <v>237.86</v>
      </c>
      <c r="N5" s="7">
        <v>125.78</v>
      </c>
      <c r="O5" s="7">
        <v>124.65</v>
      </c>
      <c r="P5" s="7">
        <v>111.53</v>
      </c>
      <c r="Q5" s="7">
        <v>113.21000000000001</v>
      </c>
      <c r="R5" s="7">
        <v>271</v>
      </c>
      <c r="S5" s="7">
        <v>221</v>
      </c>
      <c r="T5" s="7">
        <v>0</v>
      </c>
      <c r="U5" s="7">
        <v>0.43</v>
      </c>
      <c r="V5" s="7">
        <v>15</v>
      </c>
      <c r="W5" s="7">
        <v>80.489999999999995</v>
      </c>
      <c r="X5" s="7">
        <v>71.540000000000006</v>
      </c>
      <c r="Y5" s="7"/>
    </row>
    <row r="6" spans="1:25">
      <c r="A6" t="s">
        <v>184</v>
      </c>
      <c r="B6" s="7">
        <v>19</v>
      </c>
      <c r="C6" s="7">
        <v>4</v>
      </c>
      <c r="D6" s="7">
        <v>9</v>
      </c>
      <c r="E6" s="7">
        <v>0</v>
      </c>
      <c r="F6" s="7">
        <v>213.5</v>
      </c>
      <c r="G6" s="7">
        <v>19.744444444444444</v>
      </c>
      <c r="H6" s="7">
        <v>23.6</v>
      </c>
      <c r="I6" s="7">
        <v>23.7</v>
      </c>
      <c r="J6" s="7">
        <v>1097.0999999999999</v>
      </c>
      <c r="K6" s="7">
        <v>1097.2</v>
      </c>
      <c r="L6" s="7">
        <v>240.14</v>
      </c>
      <c r="M6" s="7">
        <v>243.34</v>
      </c>
      <c r="N6" s="7">
        <v>121</v>
      </c>
      <c r="O6" s="7">
        <v>123.57</v>
      </c>
      <c r="P6" s="7">
        <v>119.13999999999999</v>
      </c>
      <c r="Q6" s="7">
        <v>119.77000000000001</v>
      </c>
      <c r="R6" s="7">
        <v>279</v>
      </c>
      <c r="S6" s="7">
        <v>218</v>
      </c>
      <c r="T6" s="7">
        <v>0</v>
      </c>
      <c r="U6" s="7">
        <v>0.8</v>
      </c>
      <c r="V6" s="7">
        <v>20</v>
      </c>
      <c r="W6" s="7">
        <v>73.2</v>
      </c>
      <c r="X6" s="7">
        <v>70.959999999999994</v>
      </c>
      <c r="Y6" s="7"/>
    </row>
    <row r="7" spans="1:25">
      <c r="A7" t="s">
        <v>196</v>
      </c>
      <c r="B7" s="7">
        <v>23</v>
      </c>
      <c r="C7" s="7">
        <v>4</v>
      </c>
      <c r="D7" s="7">
        <v>9</v>
      </c>
      <c r="E7" s="7">
        <v>0</v>
      </c>
      <c r="F7" s="7">
        <v>213.5</v>
      </c>
      <c r="G7" s="7">
        <v>23.111111111111111</v>
      </c>
      <c r="H7" s="7">
        <v>23.4</v>
      </c>
      <c r="I7" s="7">
        <v>23.5</v>
      </c>
      <c r="J7" s="7">
        <v>1095.2</v>
      </c>
      <c r="K7" s="7">
        <v>1095.3</v>
      </c>
      <c r="L7" s="7">
        <v>234.35</v>
      </c>
      <c r="M7" s="7">
        <v>236.79</v>
      </c>
      <c r="N7" s="7">
        <v>118.27</v>
      </c>
      <c r="O7" s="7">
        <v>122.56</v>
      </c>
      <c r="P7" s="7">
        <v>116.08</v>
      </c>
      <c r="Q7" s="7">
        <v>114.22999999999999</v>
      </c>
      <c r="R7" s="7">
        <v>274</v>
      </c>
      <c r="S7" s="7">
        <v>223</v>
      </c>
      <c r="T7" s="7">
        <v>0</v>
      </c>
      <c r="U7" s="7">
        <v>0.66</v>
      </c>
      <c r="V7" s="7">
        <v>15</v>
      </c>
      <c r="W7" s="7">
        <v>50.84</v>
      </c>
      <c r="X7" s="7">
        <v>56.97</v>
      </c>
      <c r="Y7" s="7"/>
    </row>
    <row r="8" spans="1:25">
      <c r="A8" t="s">
        <v>208</v>
      </c>
      <c r="B8" s="7">
        <v>19</v>
      </c>
      <c r="C8" s="7">
        <v>3</v>
      </c>
      <c r="D8" s="7">
        <v>8</v>
      </c>
      <c r="E8" s="7">
        <v>0</v>
      </c>
      <c r="F8" s="7">
        <v>213</v>
      </c>
      <c r="G8" s="7">
        <v>19.649999999999999</v>
      </c>
      <c r="H8" s="7">
        <v>23.2</v>
      </c>
      <c r="I8" s="7">
        <v>23.8</v>
      </c>
      <c r="J8" s="7">
        <v>1095.8</v>
      </c>
      <c r="K8" s="7">
        <v>1098.4000000000001</v>
      </c>
      <c r="L8" s="7">
        <v>231.77</v>
      </c>
      <c r="M8" s="7">
        <v>241.27</v>
      </c>
      <c r="N8" s="7">
        <v>116.07</v>
      </c>
      <c r="O8" s="7">
        <v>125.07</v>
      </c>
      <c r="P8" s="7">
        <v>115.70000000000002</v>
      </c>
      <c r="Q8" s="7">
        <v>116.20000000000002</v>
      </c>
      <c r="R8" s="7">
        <v>263</v>
      </c>
      <c r="S8" s="7">
        <v>218</v>
      </c>
      <c r="T8" s="7">
        <v>0</v>
      </c>
      <c r="U8" s="7">
        <v>0.27</v>
      </c>
      <c r="V8" s="7">
        <v>15</v>
      </c>
      <c r="W8" s="7">
        <v>57.3</v>
      </c>
      <c r="X8" s="7">
        <v>67.209999999999994</v>
      </c>
      <c r="Y8" s="7"/>
    </row>
    <row r="9" spans="1:25">
      <c r="A9" t="s">
        <v>219</v>
      </c>
      <c r="B9" s="7">
        <v>19</v>
      </c>
      <c r="C9" s="7">
        <v>3</v>
      </c>
      <c r="D9" s="7">
        <v>8</v>
      </c>
      <c r="E9" s="7">
        <v>0</v>
      </c>
      <c r="F9" s="7">
        <v>213</v>
      </c>
      <c r="G9" s="7">
        <v>19.662500000000001</v>
      </c>
      <c r="H9" s="7">
        <v>23.9</v>
      </c>
      <c r="I9" s="7">
        <v>24.4</v>
      </c>
      <c r="J9" s="7">
        <v>1099.0999999999999</v>
      </c>
      <c r="K9" s="7">
        <v>1101.2</v>
      </c>
      <c r="L9" s="7">
        <v>242.11</v>
      </c>
      <c r="M9" s="7">
        <v>253.65</v>
      </c>
      <c r="N9" s="7">
        <v>121.23</v>
      </c>
      <c r="O9" s="7">
        <v>127.15</v>
      </c>
      <c r="P9" s="7">
        <v>120.88000000000001</v>
      </c>
      <c r="Q9" s="7">
        <v>126.5</v>
      </c>
      <c r="R9" s="7">
        <v>275</v>
      </c>
      <c r="S9" s="7">
        <v>226</v>
      </c>
      <c r="T9" s="7">
        <v>0</v>
      </c>
      <c r="U9" s="7">
        <v>0.21</v>
      </c>
      <c r="V9" s="7">
        <v>15</v>
      </c>
      <c r="W9" s="7">
        <v>52.69</v>
      </c>
      <c r="X9" s="7">
        <v>67.19</v>
      </c>
      <c r="Y9" s="7"/>
    </row>
    <row r="10" spans="1:25">
      <c r="A10" t="s">
        <v>228</v>
      </c>
      <c r="B10" s="7">
        <v>15</v>
      </c>
      <c r="C10" s="7">
        <v>3</v>
      </c>
      <c r="D10" s="7">
        <v>8</v>
      </c>
      <c r="E10" s="7">
        <v>0</v>
      </c>
      <c r="F10" s="7">
        <v>213</v>
      </c>
      <c r="G10" s="7">
        <v>16.9375</v>
      </c>
      <c r="H10" s="7">
        <v>23.5</v>
      </c>
      <c r="I10" s="7">
        <v>23.6</v>
      </c>
      <c r="J10" s="7">
        <v>1097.9000000000001</v>
      </c>
      <c r="K10" s="7">
        <v>1098.3</v>
      </c>
      <c r="L10" s="7">
        <v>235.81</v>
      </c>
      <c r="M10" s="7">
        <v>240.4</v>
      </c>
      <c r="N10" s="7">
        <v>119.1</v>
      </c>
      <c r="O10" s="7">
        <v>121.91</v>
      </c>
      <c r="P10" s="7">
        <v>116.71000000000001</v>
      </c>
      <c r="Q10" s="7">
        <v>118.49000000000001</v>
      </c>
      <c r="R10" s="7">
        <v>286</v>
      </c>
      <c r="S10" s="7">
        <v>220</v>
      </c>
      <c r="T10" s="7">
        <v>0</v>
      </c>
      <c r="U10" s="7">
        <v>0.22</v>
      </c>
      <c r="V10" s="7">
        <v>15</v>
      </c>
      <c r="W10" s="7">
        <v>55.76</v>
      </c>
      <c r="X10" s="7">
        <v>71.760000000000005</v>
      </c>
      <c r="Y10" s="7"/>
    </row>
    <row r="11" spans="1:25">
      <c r="A11" t="s">
        <v>239</v>
      </c>
      <c r="B11" s="7">
        <v>23</v>
      </c>
      <c r="C11" s="7">
        <v>3</v>
      </c>
      <c r="D11" s="7">
        <v>8</v>
      </c>
      <c r="E11" s="7">
        <v>0</v>
      </c>
      <c r="F11" s="7">
        <v>208</v>
      </c>
      <c r="G11" s="7">
        <v>22.925000000000001</v>
      </c>
      <c r="H11" s="7">
        <v>23.2</v>
      </c>
      <c r="I11" s="7">
        <v>24.1</v>
      </c>
      <c r="J11" s="7">
        <v>1094.3</v>
      </c>
      <c r="K11" s="7">
        <v>1098.5</v>
      </c>
      <c r="L11" s="7">
        <v>230.76</v>
      </c>
      <c r="M11" s="7">
        <v>242.1</v>
      </c>
      <c r="N11" s="7">
        <v>113.46</v>
      </c>
      <c r="O11" s="7">
        <v>125.22</v>
      </c>
      <c r="P11" s="7">
        <v>117.3</v>
      </c>
      <c r="Q11" s="7">
        <v>116.88</v>
      </c>
      <c r="R11" s="7">
        <v>252</v>
      </c>
      <c r="S11" s="7">
        <v>214</v>
      </c>
      <c r="T11" s="7">
        <v>0</v>
      </c>
      <c r="U11" s="7">
        <v>0.08</v>
      </c>
      <c r="V11" s="7">
        <v>15</v>
      </c>
      <c r="W11" s="7">
        <v>39.17</v>
      </c>
      <c r="X11" s="7">
        <v>54.08</v>
      </c>
      <c r="Y11" s="7"/>
    </row>
  </sheetData>
  <conditionalFormatting sqref="Y2:Y11">
    <cfRule type="expression" dxfId="0" priority="1">
      <formula>$Y2&lt;&gt;""</formula>
    </cfRule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87"/>
  <sheetViews>
    <sheetView workbookViewId="0"/>
  </sheetViews>
  <sheetFormatPr baseColWidth="10" defaultColWidth="9" defaultRowHeight="14.25"/>
  <cols>
    <col min="1" max="3" width="18" customWidth="1"/>
    <col min="4" max="21" width="13" customWidth="1"/>
  </cols>
  <sheetData>
    <row r="1" spans="1:21" ht="30">
      <c r="A1" s="1" t="s">
        <v>270</v>
      </c>
      <c r="B1" s="1" t="s">
        <v>98</v>
      </c>
      <c r="C1" s="1" t="s">
        <v>271</v>
      </c>
      <c r="D1" s="1" t="s">
        <v>115</v>
      </c>
      <c r="E1" s="1" t="s">
        <v>56</v>
      </c>
      <c r="F1" s="1" t="s">
        <v>272</v>
      </c>
      <c r="G1" s="1" t="s">
        <v>99</v>
      </c>
      <c r="H1" s="1" t="s">
        <v>116</v>
      </c>
      <c r="I1" s="1" t="s">
        <v>101</v>
      </c>
      <c r="J1" s="1" t="s">
        <v>30</v>
      </c>
      <c r="K1" s="1" t="s">
        <v>32</v>
      </c>
      <c r="L1" s="1" t="s">
        <v>29</v>
      </c>
      <c r="M1" s="1" t="s">
        <v>273</v>
      </c>
      <c r="N1" s="1" t="s">
        <v>102</v>
      </c>
      <c r="O1" s="1" t="s">
        <v>103</v>
      </c>
      <c r="P1" s="1" t="s">
        <v>31</v>
      </c>
      <c r="Q1" s="1" t="s">
        <v>105</v>
      </c>
      <c r="R1" s="1" t="s">
        <v>106</v>
      </c>
      <c r="S1" s="1" t="s">
        <v>107</v>
      </c>
      <c r="T1" s="1" t="s">
        <v>25</v>
      </c>
      <c r="U1" s="1" t="s">
        <v>36</v>
      </c>
    </row>
    <row r="2" spans="1:21">
      <c r="A2" t="s">
        <v>112</v>
      </c>
      <c r="B2" t="s">
        <v>113</v>
      </c>
      <c r="C2" s="6">
        <v>45936.5</v>
      </c>
      <c r="D2">
        <v>0</v>
      </c>
      <c r="E2">
        <v>23.7</v>
      </c>
      <c r="F2">
        <v>1098.5999999999999</v>
      </c>
      <c r="G2">
        <v>16.600000000000001</v>
      </c>
      <c r="H2">
        <v>15</v>
      </c>
      <c r="I2">
        <v>1</v>
      </c>
      <c r="J2">
        <v>256</v>
      </c>
      <c r="K2">
        <v>0.34</v>
      </c>
      <c r="L2">
        <v>14</v>
      </c>
      <c r="M2">
        <v>3</v>
      </c>
      <c r="N2">
        <v>245.86</v>
      </c>
      <c r="O2">
        <v>125.34</v>
      </c>
      <c r="P2">
        <v>224</v>
      </c>
      <c r="Q2">
        <v>15</v>
      </c>
      <c r="U2">
        <v>0</v>
      </c>
    </row>
    <row r="3" spans="1:21">
      <c r="A3" t="s">
        <v>130</v>
      </c>
      <c r="B3" t="s">
        <v>113</v>
      </c>
      <c r="C3" s="6">
        <v>45936.645833333299</v>
      </c>
      <c r="D3">
        <v>3.5</v>
      </c>
      <c r="E3">
        <v>23.6</v>
      </c>
      <c r="F3">
        <v>1098.5</v>
      </c>
      <c r="G3">
        <v>16.2</v>
      </c>
      <c r="H3">
        <v>15</v>
      </c>
      <c r="I3">
        <v>1</v>
      </c>
      <c r="J3">
        <v>244</v>
      </c>
      <c r="K3">
        <v>0.44</v>
      </c>
      <c r="L3">
        <v>87</v>
      </c>
      <c r="M3">
        <v>5</v>
      </c>
      <c r="N3">
        <v>234.5</v>
      </c>
      <c r="O3">
        <v>119.63</v>
      </c>
      <c r="P3">
        <v>287</v>
      </c>
      <c r="Q3">
        <v>23.77</v>
      </c>
      <c r="R3">
        <v>11.1</v>
      </c>
      <c r="S3">
        <v>10.5</v>
      </c>
      <c r="T3">
        <v>46.69</v>
      </c>
    </row>
    <row r="4" spans="1:21">
      <c r="A4" t="s">
        <v>132</v>
      </c>
      <c r="B4" t="s">
        <v>113</v>
      </c>
      <c r="C4" s="6">
        <v>45937.4375</v>
      </c>
      <c r="D4">
        <v>22.5</v>
      </c>
      <c r="E4">
        <v>23.3</v>
      </c>
      <c r="F4">
        <v>1096.0999999999999</v>
      </c>
      <c r="G4">
        <v>16.100000000000001</v>
      </c>
      <c r="H4">
        <v>15</v>
      </c>
      <c r="I4">
        <v>1</v>
      </c>
      <c r="J4">
        <v>250</v>
      </c>
      <c r="K4">
        <v>0.81</v>
      </c>
      <c r="L4">
        <v>72</v>
      </c>
      <c r="M4">
        <v>13</v>
      </c>
      <c r="N4">
        <v>236.49</v>
      </c>
      <c r="O4">
        <v>120.58</v>
      </c>
      <c r="P4">
        <v>277</v>
      </c>
      <c r="Q4">
        <v>37.4</v>
      </c>
      <c r="R4">
        <v>16.670000000000002</v>
      </c>
      <c r="S4">
        <v>18.28</v>
      </c>
      <c r="T4">
        <v>44.56</v>
      </c>
    </row>
    <row r="5" spans="1:21">
      <c r="A5" t="s">
        <v>134</v>
      </c>
      <c r="B5" t="s">
        <v>113</v>
      </c>
      <c r="C5" s="6">
        <v>45938.4375</v>
      </c>
      <c r="D5">
        <v>46.5</v>
      </c>
      <c r="E5">
        <v>22.2</v>
      </c>
      <c r="F5">
        <v>1091.8</v>
      </c>
      <c r="G5">
        <v>16.100000000000001</v>
      </c>
      <c r="H5">
        <v>15</v>
      </c>
      <c r="I5">
        <v>1</v>
      </c>
      <c r="J5">
        <v>296</v>
      </c>
      <c r="K5">
        <v>1.74</v>
      </c>
      <c r="L5">
        <v>93</v>
      </c>
      <c r="M5">
        <v>42</v>
      </c>
      <c r="N5">
        <v>219.58</v>
      </c>
      <c r="O5">
        <v>109.59</v>
      </c>
      <c r="P5">
        <v>335</v>
      </c>
      <c r="Q5">
        <v>49.31</v>
      </c>
      <c r="R5">
        <v>23.27</v>
      </c>
      <c r="S5">
        <v>16.82</v>
      </c>
      <c r="T5">
        <v>47.2</v>
      </c>
    </row>
    <row r="6" spans="1:21">
      <c r="A6" t="s">
        <v>136</v>
      </c>
      <c r="B6" t="s">
        <v>113</v>
      </c>
      <c r="C6" s="6">
        <v>45939.416666666701</v>
      </c>
      <c r="D6">
        <v>70</v>
      </c>
      <c r="E6">
        <v>20.3</v>
      </c>
      <c r="F6">
        <v>1083.5999999999999</v>
      </c>
      <c r="G6">
        <v>15.6</v>
      </c>
      <c r="H6">
        <v>15</v>
      </c>
      <c r="I6">
        <v>1</v>
      </c>
      <c r="J6">
        <v>272</v>
      </c>
      <c r="K6">
        <v>2.87</v>
      </c>
      <c r="L6">
        <v>64</v>
      </c>
      <c r="M6">
        <v>73</v>
      </c>
      <c r="N6">
        <v>202.67</v>
      </c>
      <c r="O6">
        <v>97.28</v>
      </c>
      <c r="P6">
        <v>286</v>
      </c>
      <c r="Q6">
        <v>72.12</v>
      </c>
      <c r="R6">
        <v>41.24</v>
      </c>
      <c r="S6">
        <v>18.32</v>
      </c>
      <c r="T6">
        <v>57.19</v>
      </c>
    </row>
    <row r="7" spans="1:21">
      <c r="A7" t="s">
        <v>138</v>
      </c>
      <c r="B7" t="s">
        <v>113</v>
      </c>
      <c r="C7" s="6">
        <v>45940.416666666701</v>
      </c>
      <c r="D7">
        <v>94</v>
      </c>
      <c r="E7">
        <v>17.100000000000001</v>
      </c>
      <c r="F7">
        <v>1068.9000000000001</v>
      </c>
      <c r="G7">
        <v>15.8</v>
      </c>
      <c r="H7">
        <v>15</v>
      </c>
      <c r="I7">
        <v>1</v>
      </c>
      <c r="J7">
        <v>199</v>
      </c>
      <c r="K7">
        <v>4.34</v>
      </c>
      <c r="L7">
        <v>51</v>
      </c>
      <c r="M7">
        <v>79</v>
      </c>
      <c r="N7">
        <v>170.59</v>
      </c>
      <c r="O7">
        <v>74.03</v>
      </c>
      <c r="P7">
        <v>214</v>
      </c>
      <c r="Q7">
        <v>75.27</v>
      </c>
      <c r="R7">
        <v>47.93</v>
      </c>
      <c r="S7">
        <v>15.51</v>
      </c>
      <c r="T7">
        <v>63.67</v>
      </c>
      <c r="U7">
        <v>3.87</v>
      </c>
    </row>
    <row r="8" spans="1:21">
      <c r="A8" t="s">
        <v>140</v>
      </c>
      <c r="B8" t="s">
        <v>113</v>
      </c>
      <c r="C8" s="6">
        <v>45943.395833333299</v>
      </c>
      <c r="D8">
        <v>165.5</v>
      </c>
      <c r="E8">
        <v>9.3000000000000007</v>
      </c>
      <c r="F8">
        <v>1035.5</v>
      </c>
      <c r="G8">
        <v>18.100000000000001</v>
      </c>
      <c r="H8">
        <v>15</v>
      </c>
      <c r="I8">
        <v>1</v>
      </c>
      <c r="J8">
        <v>109</v>
      </c>
      <c r="K8">
        <v>6.3</v>
      </c>
      <c r="L8">
        <v>42</v>
      </c>
      <c r="M8">
        <v>55</v>
      </c>
      <c r="N8">
        <v>94.87</v>
      </c>
      <c r="O8">
        <v>30.35</v>
      </c>
      <c r="P8">
        <v>131</v>
      </c>
      <c r="Q8">
        <v>75.959999999999994</v>
      </c>
      <c r="R8">
        <v>53.84</v>
      </c>
      <c r="S8">
        <v>10.72</v>
      </c>
      <c r="T8">
        <v>70.88</v>
      </c>
      <c r="U8">
        <v>8.44</v>
      </c>
    </row>
    <row r="9" spans="1:21">
      <c r="A9" t="s">
        <v>142</v>
      </c>
      <c r="B9" t="s">
        <v>113</v>
      </c>
      <c r="C9" s="6">
        <v>45944.416666666701</v>
      </c>
      <c r="D9">
        <v>190</v>
      </c>
      <c r="E9">
        <v>7.4</v>
      </c>
      <c r="F9">
        <v>1028.2</v>
      </c>
      <c r="G9">
        <v>16.2</v>
      </c>
      <c r="H9">
        <v>15</v>
      </c>
      <c r="I9">
        <v>1</v>
      </c>
      <c r="J9">
        <v>91</v>
      </c>
      <c r="K9">
        <v>6.3</v>
      </c>
      <c r="L9">
        <v>43</v>
      </c>
      <c r="M9">
        <v>38</v>
      </c>
      <c r="N9">
        <v>76.47</v>
      </c>
      <c r="O9">
        <v>20.420000000000002</v>
      </c>
      <c r="P9">
        <v>117</v>
      </c>
      <c r="Q9">
        <v>67.97</v>
      </c>
      <c r="R9">
        <v>43.93</v>
      </c>
      <c r="S9">
        <v>10.06</v>
      </c>
      <c r="T9">
        <v>64.63</v>
      </c>
    </row>
    <row r="10" spans="1:21">
      <c r="A10" t="s">
        <v>144</v>
      </c>
      <c r="B10" t="s">
        <v>113</v>
      </c>
      <c r="C10" s="6">
        <v>45945.375</v>
      </c>
      <c r="D10">
        <v>213</v>
      </c>
      <c r="E10">
        <v>5.6</v>
      </c>
      <c r="F10">
        <v>1020.9</v>
      </c>
      <c r="G10">
        <v>16.899999999999999</v>
      </c>
      <c r="H10">
        <v>15</v>
      </c>
      <c r="I10">
        <v>1</v>
      </c>
      <c r="J10">
        <v>90</v>
      </c>
      <c r="K10">
        <v>6.76</v>
      </c>
      <c r="L10">
        <v>45</v>
      </c>
      <c r="M10">
        <v>35</v>
      </c>
      <c r="N10">
        <v>63.72</v>
      </c>
      <c r="O10">
        <v>14.64</v>
      </c>
      <c r="P10">
        <v>119</v>
      </c>
      <c r="Q10">
        <v>72.73</v>
      </c>
      <c r="R10">
        <v>46.24</v>
      </c>
      <c r="S10">
        <v>11.72</v>
      </c>
      <c r="T10">
        <v>63.57</v>
      </c>
      <c r="U10">
        <v>10.039999999999999</v>
      </c>
    </row>
    <row r="11" spans="1:21">
      <c r="A11" t="s">
        <v>146</v>
      </c>
      <c r="B11" t="s">
        <v>147</v>
      </c>
      <c r="C11" s="6">
        <v>45936.5</v>
      </c>
      <c r="D11">
        <v>0</v>
      </c>
      <c r="E11">
        <v>23.4</v>
      </c>
      <c r="F11">
        <v>1097.0999999999999</v>
      </c>
      <c r="G11">
        <v>16.8</v>
      </c>
      <c r="H11">
        <v>15</v>
      </c>
      <c r="I11">
        <v>4</v>
      </c>
      <c r="J11">
        <v>249</v>
      </c>
      <c r="K11">
        <v>0.38</v>
      </c>
      <c r="L11">
        <v>13</v>
      </c>
      <c r="M11">
        <v>4</v>
      </c>
      <c r="N11">
        <v>243.91</v>
      </c>
      <c r="O11">
        <v>124.28</v>
      </c>
      <c r="P11">
        <v>218</v>
      </c>
      <c r="Q11">
        <v>15</v>
      </c>
      <c r="U11">
        <v>0</v>
      </c>
    </row>
    <row r="12" spans="1:21">
      <c r="A12" t="s">
        <v>150</v>
      </c>
      <c r="B12" t="s">
        <v>147</v>
      </c>
      <c r="C12" s="6">
        <v>45936.645833333299</v>
      </c>
      <c r="D12">
        <v>3.5</v>
      </c>
      <c r="E12">
        <v>23.3</v>
      </c>
      <c r="F12">
        <v>1097.0999999999999</v>
      </c>
      <c r="G12">
        <v>16.100000000000001</v>
      </c>
      <c r="H12">
        <v>15</v>
      </c>
      <c r="I12">
        <v>4</v>
      </c>
      <c r="J12">
        <v>245</v>
      </c>
      <c r="L12">
        <v>83</v>
      </c>
      <c r="M12">
        <v>4</v>
      </c>
      <c r="N12">
        <v>234.26</v>
      </c>
      <c r="O12">
        <v>118.87</v>
      </c>
      <c r="P12">
        <v>285</v>
      </c>
      <c r="Q12">
        <v>20.274999999999999</v>
      </c>
      <c r="R12">
        <v>10.945</v>
      </c>
      <c r="S12">
        <v>12.31</v>
      </c>
      <c r="T12">
        <v>53.98</v>
      </c>
    </row>
    <row r="13" spans="1:21">
      <c r="A13" t="s">
        <v>151</v>
      </c>
      <c r="B13" t="s">
        <v>147</v>
      </c>
      <c r="C13" s="6">
        <v>45937.4375</v>
      </c>
      <c r="D13">
        <v>22.5</v>
      </c>
      <c r="E13">
        <v>23</v>
      </c>
      <c r="F13">
        <v>1094.9000000000001</v>
      </c>
      <c r="G13">
        <v>16.5</v>
      </c>
      <c r="H13">
        <v>15</v>
      </c>
      <c r="I13">
        <v>4</v>
      </c>
      <c r="J13">
        <v>249</v>
      </c>
      <c r="K13">
        <v>0.79</v>
      </c>
      <c r="L13">
        <v>69</v>
      </c>
      <c r="M13">
        <v>12</v>
      </c>
      <c r="N13">
        <v>235.19</v>
      </c>
      <c r="O13">
        <v>118.47</v>
      </c>
      <c r="P13">
        <v>272</v>
      </c>
      <c r="Q13">
        <v>38.1</v>
      </c>
      <c r="R13">
        <v>9.33</v>
      </c>
      <c r="S13">
        <v>18.350000000000001</v>
      </c>
      <c r="T13">
        <v>48.99</v>
      </c>
    </row>
    <row r="14" spans="1:21">
      <c r="A14" t="s">
        <v>152</v>
      </c>
      <c r="B14" t="s">
        <v>147</v>
      </c>
      <c r="C14" s="6">
        <v>45938.4375</v>
      </c>
      <c r="D14">
        <v>46.5</v>
      </c>
      <c r="E14">
        <v>22</v>
      </c>
      <c r="F14">
        <v>1091.3</v>
      </c>
      <c r="G14">
        <v>15.6</v>
      </c>
      <c r="H14">
        <v>15</v>
      </c>
      <c r="I14">
        <v>4</v>
      </c>
      <c r="J14">
        <v>230</v>
      </c>
      <c r="K14">
        <v>1.77</v>
      </c>
      <c r="L14">
        <v>40</v>
      </c>
      <c r="M14">
        <v>38</v>
      </c>
      <c r="N14">
        <v>223.13</v>
      </c>
      <c r="O14">
        <v>112.06</v>
      </c>
      <c r="P14">
        <v>229</v>
      </c>
      <c r="Q14">
        <v>45.39</v>
      </c>
      <c r="R14">
        <v>29.95</v>
      </c>
      <c r="S14">
        <v>21.32</v>
      </c>
      <c r="T14">
        <v>65.989999999999995</v>
      </c>
    </row>
    <row r="15" spans="1:21">
      <c r="A15" t="s">
        <v>153</v>
      </c>
      <c r="B15" t="s">
        <v>147</v>
      </c>
      <c r="C15" s="6">
        <v>45939.416666666701</v>
      </c>
      <c r="D15">
        <v>70</v>
      </c>
      <c r="E15">
        <v>20</v>
      </c>
      <c r="F15">
        <v>1082</v>
      </c>
      <c r="G15">
        <v>15.8</v>
      </c>
      <c r="H15">
        <v>15</v>
      </c>
      <c r="I15">
        <v>4</v>
      </c>
      <c r="J15">
        <v>175</v>
      </c>
      <c r="K15">
        <v>3.09</v>
      </c>
      <c r="L15">
        <v>23</v>
      </c>
      <c r="M15">
        <v>66</v>
      </c>
      <c r="N15">
        <v>198.26</v>
      </c>
      <c r="O15">
        <v>93.06</v>
      </c>
      <c r="P15">
        <v>166</v>
      </c>
      <c r="Q15">
        <v>54.76</v>
      </c>
      <c r="R15">
        <v>37.020000000000003</v>
      </c>
      <c r="S15">
        <v>20.059999999999999</v>
      </c>
      <c r="T15">
        <v>67.599999999999994</v>
      </c>
    </row>
    <row r="16" spans="1:21">
      <c r="A16" t="s">
        <v>154</v>
      </c>
      <c r="B16" t="s">
        <v>147</v>
      </c>
      <c r="C16" s="6">
        <v>45940.416666666701</v>
      </c>
      <c r="D16">
        <v>94</v>
      </c>
      <c r="E16">
        <v>17</v>
      </c>
      <c r="F16">
        <v>1068.4000000000001</v>
      </c>
      <c r="G16">
        <v>16</v>
      </c>
      <c r="H16">
        <v>15</v>
      </c>
      <c r="I16">
        <v>4</v>
      </c>
      <c r="J16">
        <v>61</v>
      </c>
      <c r="K16">
        <v>3.5</v>
      </c>
      <c r="L16">
        <v>13</v>
      </c>
      <c r="M16">
        <v>57</v>
      </c>
      <c r="N16">
        <v>133.4</v>
      </c>
      <c r="O16">
        <v>59.38</v>
      </c>
      <c r="P16">
        <v>63</v>
      </c>
      <c r="Q16">
        <v>68.430000000000007</v>
      </c>
      <c r="R16">
        <v>53.53</v>
      </c>
      <c r="S16">
        <v>20.2</v>
      </c>
      <c r="T16">
        <v>78.23</v>
      </c>
      <c r="U16">
        <v>3.67</v>
      </c>
    </row>
    <row r="17" spans="1:21">
      <c r="A17" t="s">
        <v>155</v>
      </c>
      <c r="B17" t="s">
        <v>147</v>
      </c>
      <c r="C17" s="6">
        <v>45943.395833333299</v>
      </c>
      <c r="D17">
        <v>165.5</v>
      </c>
      <c r="E17">
        <v>8</v>
      </c>
      <c r="F17">
        <v>1030.4000000000001</v>
      </c>
      <c r="G17">
        <v>17.8</v>
      </c>
      <c r="H17">
        <v>15</v>
      </c>
      <c r="I17">
        <v>4</v>
      </c>
      <c r="J17">
        <v>23</v>
      </c>
      <c r="K17">
        <v>6.55</v>
      </c>
      <c r="L17">
        <v>52</v>
      </c>
      <c r="M17">
        <v>43</v>
      </c>
      <c r="N17">
        <v>85.57</v>
      </c>
      <c r="O17">
        <v>25.65</v>
      </c>
      <c r="P17">
        <v>71</v>
      </c>
      <c r="Q17">
        <v>82.95</v>
      </c>
      <c r="R17">
        <v>60.06</v>
      </c>
      <c r="S17">
        <v>11.76</v>
      </c>
      <c r="T17">
        <v>72.41</v>
      </c>
      <c r="U17">
        <v>7.84</v>
      </c>
    </row>
    <row r="18" spans="1:21">
      <c r="A18" t="s">
        <v>156</v>
      </c>
      <c r="B18" t="s">
        <v>147</v>
      </c>
      <c r="C18" s="6">
        <v>45944.416666666701</v>
      </c>
      <c r="D18">
        <v>190</v>
      </c>
      <c r="E18">
        <v>5.9</v>
      </c>
      <c r="F18">
        <v>1022.2</v>
      </c>
      <c r="G18">
        <v>16.5</v>
      </c>
      <c r="H18">
        <v>15</v>
      </c>
      <c r="I18">
        <v>4</v>
      </c>
      <c r="J18">
        <v>15</v>
      </c>
      <c r="K18">
        <v>6.74</v>
      </c>
      <c r="L18">
        <v>53</v>
      </c>
      <c r="M18">
        <v>45</v>
      </c>
      <c r="N18">
        <v>66.09</v>
      </c>
      <c r="O18">
        <v>15.65</v>
      </c>
      <c r="P18">
        <v>65</v>
      </c>
      <c r="Q18">
        <v>85.25</v>
      </c>
      <c r="R18">
        <v>59.29</v>
      </c>
      <c r="S18">
        <v>9.82</v>
      </c>
      <c r="T18">
        <v>69.55</v>
      </c>
    </row>
    <row r="19" spans="1:21">
      <c r="A19" t="s">
        <v>157</v>
      </c>
      <c r="B19" t="s">
        <v>147</v>
      </c>
      <c r="C19" s="6">
        <v>45945.375</v>
      </c>
      <c r="D19">
        <v>213</v>
      </c>
      <c r="E19">
        <v>4.0999999999999996</v>
      </c>
      <c r="F19">
        <v>1014.7</v>
      </c>
      <c r="G19">
        <v>16.7</v>
      </c>
      <c r="H19">
        <v>15</v>
      </c>
      <c r="I19">
        <v>4</v>
      </c>
      <c r="J19">
        <v>10</v>
      </c>
      <c r="K19">
        <v>6.91</v>
      </c>
      <c r="L19">
        <v>51</v>
      </c>
      <c r="M19">
        <v>26</v>
      </c>
      <c r="N19">
        <v>52.06</v>
      </c>
      <c r="O19">
        <v>9.99</v>
      </c>
      <c r="P19">
        <v>60</v>
      </c>
      <c r="Q19">
        <v>78.73</v>
      </c>
      <c r="R19">
        <v>54.92</v>
      </c>
      <c r="S19">
        <v>8.8800000000000008</v>
      </c>
      <c r="T19">
        <v>69.760000000000005</v>
      </c>
      <c r="U19">
        <v>10.64</v>
      </c>
    </row>
    <row r="20" spans="1:21">
      <c r="A20" t="s">
        <v>158</v>
      </c>
      <c r="B20" t="s">
        <v>159</v>
      </c>
      <c r="C20" s="6">
        <v>45936.5</v>
      </c>
      <c r="D20">
        <v>0</v>
      </c>
      <c r="E20">
        <v>23.1</v>
      </c>
      <c r="F20">
        <v>1095.4000000000001</v>
      </c>
      <c r="G20">
        <v>18.8</v>
      </c>
      <c r="H20">
        <v>23</v>
      </c>
      <c r="I20">
        <v>1</v>
      </c>
      <c r="J20">
        <v>263</v>
      </c>
      <c r="K20">
        <v>0.38</v>
      </c>
      <c r="L20">
        <v>21</v>
      </c>
      <c r="M20">
        <v>1</v>
      </c>
      <c r="N20">
        <v>235.08</v>
      </c>
      <c r="O20">
        <v>120.89</v>
      </c>
      <c r="P20">
        <v>236</v>
      </c>
      <c r="Q20">
        <v>15</v>
      </c>
      <c r="U20">
        <v>0</v>
      </c>
    </row>
    <row r="21" spans="1:21">
      <c r="A21" t="s">
        <v>162</v>
      </c>
      <c r="B21" t="s">
        <v>159</v>
      </c>
      <c r="C21" s="6">
        <v>45936.645833333299</v>
      </c>
      <c r="D21">
        <v>3.5</v>
      </c>
      <c r="E21">
        <v>23</v>
      </c>
      <c r="F21">
        <v>1093.5</v>
      </c>
      <c r="G21">
        <v>23</v>
      </c>
      <c r="H21">
        <v>23</v>
      </c>
      <c r="I21">
        <v>1</v>
      </c>
      <c r="J21">
        <v>244</v>
      </c>
      <c r="K21">
        <v>0.54</v>
      </c>
      <c r="L21">
        <v>91</v>
      </c>
      <c r="M21">
        <v>5</v>
      </c>
      <c r="N21">
        <v>232.68</v>
      </c>
      <c r="O21">
        <v>117.57</v>
      </c>
      <c r="P21">
        <v>291</v>
      </c>
      <c r="Q21">
        <v>21.815000000000001</v>
      </c>
      <c r="R21">
        <v>11.25</v>
      </c>
      <c r="S21">
        <v>13.2</v>
      </c>
      <c r="T21">
        <v>51.57</v>
      </c>
    </row>
    <row r="22" spans="1:21">
      <c r="A22" t="s">
        <v>163</v>
      </c>
      <c r="B22" t="s">
        <v>159</v>
      </c>
      <c r="C22" s="6">
        <v>45937.4375</v>
      </c>
      <c r="D22">
        <v>22.5</v>
      </c>
      <c r="E22">
        <v>45797</v>
      </c>
      <c r="F22">
        <v>1082.5</v>
      </c>
      <c r="G22">
        <v>23</v>
      </c>
      <c r="H22">
        <v>23</v>
      </c>
      <c r="I22">
        <v>1</v>
      </c>
      <c r="J22">
        <v>166</v>
      </c>
      <c r="K22">
        <v>2.63</v>
      </c>
      <c r="L22">
        <v>20</v>
      </c>
      <c r="M22">
        <v>59</v>
      </c>
      <c r="N22">
        <v>203.31</v>
      </c>
      <c r="O22">
        <v>98.16</v>
      </c>
      <c r="P22">
        <v>156</v>
      </c>
      <c r="Q22">
        <v>55.15</v>
      </c>
      <c r="R22">
        <v>20.2</v>
      </c>
      <c r="S22">
        <v>17.97</v>
      </c>
      <c r="T22">
        <v>73.260000000000005</v>
      </c>
    </row>
    <row r="23" spans="1:21">
      <c r="A23" t="s">
        <v>165</v>
      </c>
      <c r="B23" t="s">
        <v>159</v>
      </c>
      <c r="C23" s="6">
        <v>45938.4375</v>
      </c>
      <c r="D23">
        <v>46.5</v>
      </c>
      <c r="E23">
        <v>12.1</v>
      </c>
      <c r="F23">
        <v>1045.8</v>
      </c>
      <c r="G23">
        <v>23.2</v>
      </c>
      <c r="H23">
        <v>23</v>
      </c>
      <c r="I23">
        <v>1</v>
      </c>
      <c r="J23">
        <v>25</v>
      </c>
      <c r="K23">
        <v>5.95</v>
      </c>
      <c r="L23">
        <v>33</v>
      </c>
      <c r="M23">
        <v>65</v>
      </c>
      <c r="N23">
        <v>123.42</v>
      </c>
      <c r="O23">
        <v>44.39</v>
      </c>
      <c r="P23">
        <v>53</v>
      </c>
      <c r="Q23">
        <v>82.1</v>
      </c>
      <c r="R23">
        <v>61.67</v>
      </c>
      <c r="S23">
        <v>13.38</v>
      </c>
      <c r="T23">
        <v>75.12</v>
      </c>
    </row>
    <row r="24" spans="1:21">
      <c r="A24" t="s">
        <v>166</v>
      </c>
      <c r="B24" t="s">
        <v>159</v>
      </c>
      <c r="C24" s="6">
        <v>45939.416666666701</v>
      </c>
      <c r="D24">
        <v>70</v>
      </c>
      <c r="E24">
        <v>6.2</v>
      </c>
      <c r="F24">
        <v>1021.7</v>
      </c>
      <c r="G24">
        <v>23.3</v>
      </c>
      <c r="H24">
        <v>23</v>
      </c>
      <c r="I24">
        <v>1</v>
      </c>
      <c r="J24">
        <v>1E-4</v>
      </c>
      <c r="K24">
        <v>6.8</v>
      </c>
      <c r="L24">
        <v>33</v>
      </c>
      <c r="M24">
        <v>45</v>
      </c>
      <c r="N24">
        <v>69.28</v>
      </c>
      <c r="O24">
        <v>17.32</v>
      </c>
      <c r="P24">
        <v>31</v>
      </c>
      <c r="Q24">
        <v>91.78</v>
      </c>
      <c r="R24">
        <v>67.13</v>
      </c>
      <c r="S24">
        <v>12.05</v>
      </c>
      <c r="T24">
        <v>73.14</v>
      </c>
    </row>
    <row r="25" spans="1:21">
      <c r="A25" t="s">
        <v>167</v>
      </c>
      <c r="B25" t="s">
        <v>159</v>
      </c>
      <c r="C25" s="6">
        <v>45940.416666666701</v>
      </c>
      <c r="D25">
        <v>94</v>
      </c>
      <c r="E25">
        <v>3</v>
      </c>
      <c r="F25">
        <v>1009.1</v>
      </c>
      <c r="G25">
        <v>23.1</v>
      </c>
      <c r="H25">
        <v>23</v>
      </c>
      <c r="I25">
        <v>1</v>
      </c>
      <c r="J25">
        <v>1E-4</v>
      </c>
      <c r="K25">
        <v>5.64</v>
      </c>
      <c r="L25">
        <v>23</v>
      </c>
      <c r="M25">
        <v>22</v>
      </c>
      <c r="N25">
        <v>33.24</v>
      </c>
      <c r="O25">
        <v>6.87</v>
      </c>
      <c r="P25">
        <v>17</v>
      </c>
      <c r="Q25">
        <v>90.17</v>
      </c>
      <c r="R25">
        <v>59.37</v>
      </c>
      <c r="S25">
        <v>8.43</v>
      </c>
      <c r="T25">
        <v>65.84</v>
      </c>
      <c r="U25">
        <v>10.93</v>
      </c>
    </row>
    <row r="26" spans="1:21">
      <c r="A26" t="s">
        <v>168</v>
      </c>
      <c r="B26" t="s">
        <v>159</v>
      </c>
      <c r="C26" s="6">
        <v>45943.395833333299</v>
      </c>
      <c r="D26">
        <v>165.5</v>
      </c>
      <c r="E26">
        <v>-1.7</v>
      </c>
      <c r="F26">
        <v>990.9</v>
      </c>
      <c r="G26">
        <v>23</v>
      </c>
      <c r="H26">
        <v>23</v>
      </c>
      <c r="I26">
        <v>1</v>
      </c>
      <c r="J26">
        <v>1E-4</v>
      </c>
      <c r="K26">
        <v>7.34</v>
      </c>
      <c r="L26">
        <v>38</v>
      </c>
      <c r="M26">
        <v>22</v>
      </c>
      <c r="N26">
        <v>3.14</v>
      </c>
      <c r="O26">
        <v>1.58</v>
      </c>
      <c r="P26">
        <v>26</v>
      </c>
      <c r="Q26">
        <v>78.03</v>
      </c>
      <c r="R26">
        <v>46.01</v>
      </c>
      <c r="S26">
        <v>9.06</v>
      </c>
      <c r="T26">
        <v>58.96</v>
      </c>
      <c r="U26">
        <v>13.64</v>
      </c>
    </row>
    <row r="27" spans="1:21">
      <c r="A27" t="s">
        <v>169</v>
      </c>
      <c r="B27" t="s">
        <v>159</v>
      </c>
      <c r="C27" s="6">
        <v>45944.416666666701</v>
      </c>
      <c r="D27">
        <v>190</v>
      </c>
      <c r="E27">
        <v>-2.6</v>
      </c>
      <c r="F27">
        <v>987.6</v>
      </c>
      <c r="G27">
        <v>23.5</v>
      </c>
      <c r="H27">
        <v>23</v>
      </c>
      <c r="I27">
        <v>1</v>
      </c>
      <c r="J27">
        <v>1E-4</v>
      </c>
      <c r="K27">
        <v>7.52</v>
      </c>
      <c r="L27">
        <v>36</v>
      </c>
      <c r="M27">
        <v>17</v>
      </c>
      <c r="N27">
        <v>1E-4</v>
      </c>
      <c r="O27">
        <v>0.77</v>
      </c>
      <c r="P27">
        <v>27</v>
      </c>
      <c r="Q27">
        <v>80.569999999999993</v>
      </c>
      <c r="R27">
        <v>43.47</v>
      </c>
      <c r="S27">
        <v>7.91</v>
      </c>
      <c r="T27">
        <v>53.96</v>
      </c>
    </row>
    <row r="28" spans="1:21">
      <c r="A28" t="s">
        <v>170</v>
      </c>
      <c r="B28" t="s">
        <v>159</v>
      </c>
      <c r="C28" s="6">
        <v>45945.375</v>
      </c>
      <c r="D28">
        <v>213</v>
      </c>
      <c r="E28">
        <v>-2</v>
      </c>
      <c r="F28">
        <v>989.8</v>
      </c>
      <c r="G28">
        <v>22.8</v>
      </c>
      <c r="H28">
        <v>23</v>
      </c>
      <c r="I28">
        <v>1</v>
      </c>
      <c r="J28">
        <v>1E-4</v>
      </c>
      <c r="K28">
        <v>7.24</v>
      </c>
      <c r="L28">
        <v>43</v>
      </c>
      <c r="M28">
        <v>9</v>
      </c>
      <c r="N28">
        <v>2.02</v>
      </c>
      <c r="O28">
        <v>1.1299999999999999</v>
      </c>
      <c r="P28">
        <v>34</v>
      </c>
      <c r="Q28">
        <v>80.95</v>
      </c>
      <c r="R28">
        <v>39.25</v>
      </c>
      <c r="S28">
        <v>12.33</v>
      </c>
      <c r="T28">
        <v>48.48</v>
      </c>
      <c r="U28">
        <v>14.02</v>
      </c>
    </row>
    <row r="29" spans="1:21">
      <c r="A29" t="s">
        <v>171</v>
      </c>
      <c r="B29" t="s">
        <v>172</v>
      </c>
      <c r="C29" s="6">
        <v>45950.5</v>
      </c>
      <c r="D29">
        <v>0</v>
      </c>
      <c r="E29">
        <v>23.9</v>
      </c>
      <c r="F29">
        <v>1097.9000000000001</v>
      </c>
      <c r="G29">
        <v>20.2</v>
      </c>
      <c r="H29">
        <v>19</v>
      </c>
      <c r="I29">
        <v>1</v>
      </c>
      <c r="J29">
        <v>244</v>
      </c>
      <c r="K29">
        <v>0.43</v>
      </c>
      <c r="L29">
        <v>21</v>
      </c>
      <c r="M29">
        <v>9</v>
      </c>
      <c r="N29">
        <v>237.86</v>
      </c>
      <c r="O29">
        <v>124.65</v>
      </c>
      <c r="P29">
        <v>221</v>
      </c>
      <c r="Q29">
        <v>15</v>
      </c>
      <c r="U29">
        <v>0</v>
      </c>
    </row>
    <row r="30" spans="1:21">
      <c r="A30" t="s">
        <v>175</v>
      </c>
      <c r="B30" t="s">
        <v>172</v>
      </c>
      <c r="C30" s="6">
        <v>45950.625</v>
      </c>
      <c r="D30">
        <v>3</v>
      </c>
      <c r="E30">
        <v>23.8</v>
      </c>
      <c r="F30">
        <v>1097.8</v>
      </c>
      <c r="G30">
        <v>20.2</v>
      </c>
      <c r="H30">
        <v>19</v>
      </c>
      <c r="I30">
        <v>1</v>
      </c>
      <c r="J30">
        <v>229</v>
      </c>
      <c r="K30">
        <v>0.59</v>
      </c>
      <c r="L30">
        <v>83</v>
      </c>
      <c r="M30">
        <v>25</v>
      </c>
      <c r="N30">
        <v>237.31</v>
      </c>
      <c r="O30">
        <v>125.78</v>
      </c>
      <c r="P30">
        <v>271</v>
      </c>
      <c r="Q30">
        <v>31.414999999999999</v>
      </c>
      <c r="R30">
        <v>18.7</v>
      </c>
      <c r="S30">
        <v>17.11</v>
      </c>
      <c r="T30">
        <v>59.54</v>
      </c>
    </row>
    <row r="31" spans="1:21">
      <c r="A31" t="s">
        <v>176</v>
      </c>
      <c r="B31" t="s">
        <v>172</v>
      </c>
      <c r="C31" s="6">
        <v>45951.375</v>
      </c>
      <c r="D31">
        <v>21</v>
      </c>
      <c r="E31">
        <v>23.1</v>
      </c>
      <c r="F31">
        <v>1095</v>
      </c>
      <c r="G31">
        <v>19.100000000000001</v>
      </c>
      <c r="H31">
        <v>19</v>
      </c>
      <c r="I31">
        <v>1</v>
      </c>
      <c r="J31">
        <v>231</v>
      </c>
      <c r="K31">
        <v>1.19</v>
      </c>
      <c r="L31">
        <v>57</v>
      </c>
      <c r="M31">
        <v>29</v>
      </c>
      <c r="N31">
        <v>228.87</v>
      </c>
      <c r="O31">
        <v>114.16</v>
      </c>
      <c r="P31">
        <v>246</v>
      </c>
      <c r="Q31">
        <v>33.1</v>
      </c>
      <c r="R31">
        <v>16.82</v>
      </c>
      <c r="S31">
        <v>22.74</v>
      </c>
      <c r="T31">
        <v>50.81</v>
      </c>
    </row>
    <row r="32" spans="1:21">
      <c r="A32" t="s">
        <v>177</v>
      </c>
      <c r="B32" t="s">
        <v>172</v>
      </c>
      <c r="C32" s="6">
        <v>45952.416666666701</v>
      </c>
      <c r="D32">
        <v>46</v>
      </c>
      <c r="E32">
        <v>19</v>
      </c>
      <c r="F32">
        <v>1076.9000000000001</v>
      </c>
      <c r="G32">
        <v>19.100000000000001</v>
      </c>
      <c r="H32">
        <v>19</v>
      </c>
      <c r="I32">
        <v>1</v>
      </c>
      <c r="J32">
        <v>196</v>
      </c>
      <c r="K32">
        <v>3.56</v>
      </c>
      <c r="L32">
        <v>44</v>
      </c>
      <c r="M32">
        <v>80</v>
      </c>
      <c r="N32">
        <v>183.12</v>
      </c>
      <c r="O32">
        <v>85.65</v>
      </c>
      <c r="P32">
        <v>204</v>
      </c>
      <c r="Q32">
        <v>64.75</v>
      </c>
      <c r="R32">
        <v>41.47</v>
      </c>
      <c r="S32">
        <v>23.37</v>
      </c>
      <c r="T32">
        <v>64.06</v>
      </c>
    </row>
    <row r="33" spans="1:21">
      <c r="A33" t="s">
        <v>178</v>
      </c>
      <c r="B33" t="s">
        <v>172</v>
      </c>
      <c r="C33" s="6">
        <v>45953.4375</v>
      </c>
      <c r="D33">
        <v>70.5</v>
      </c>
      <c r="E33">
        <v>13.3</v>
      </c>
      <c r="F33">
        <v>1052.2</v>
      </c>
      <c r="G33">
        <v>19.3</v>
      </c>
      <c r="H33">
        <v>19</v>
      </c>
      <c r="I33">
        <v>1</v>
      </c>
      <c r="J33">
        <v>83</v>
      </c>
      <c r="K33">
        <v>5.65</v>
      </c>
      <c r="L33">
        <v>39</v>
      </c>
      <c r="M33">
        <v>67</v>
      </c>
      <c r="N33">
        <v>131.12</v>
      </c>
      <c r="O33">
        <v>50.56</v>
      </c>
      <c r="P33">
        <v>107</v>
      </c>
      <c r="Q33">
        <v>70.81</v>
      </c>
      <c r="R33">
        <v>47.54</v>
      </c>
      <c r="S33">
        <v>16.16</v>
      </c>
      <c r="T33">
        <v>67.14</v>
      </c>
    </row>
    <row r="34" spans="1:21">
      <c r="A34" t="s">
        <v>179</v>
      </c>
      <c r="B34" t="s">
        <v>172</v>
      </c>
      <c r="C34" s="6">
        <v>45954.395833333299</v>
      </c>
      <c r="D34">
        <v>93.5</v>
      </c>
      <c r="E34">
        <v>9</v>
      </c>
      <c r="F34">
        <v>1033.9000000000001</v>
      </c>
      <c r="G34">
        <v>20</v>
      </c>
      <c r="H34">
        <v>19</v>
      </c>
      <c r="I34">
        <v>1</v>
      </c>
      <c r="J34">
        <v>35</v>
      </c>
      <c r="K34">
        <v>6.54</v>
      </c>
      <c r="L34">
        <v>37</v>
      </c>
      <c r="M34">
        <v>51</v>
      </c>
      <c r="N34">
        <v>93.75</v>
      </c>
      <c r="O34">
        <v>29.71</v>
      </c>
      <c r="P34">
        <v>66</v>
      </c>
      <c r="Q34">
        <v>76.569999999999993</v>
      </c>
      <c r="R34">
        <v>50.15</v>
      </c>
      <c r="S34">
        <v>13.94</v>
      </c>
      <c r="T34">
        <v>65.5</v>
      </c>
      <c r="U34">
        <v>8.4</v>
      </c>
    </row>
    <row r="35" spans="1:21">
      <c r="A35" t="s">
        <v>180</v>
      </c>
      <c r="B35" t="s">
        <v>172</v>
      </c>
      <c r="C35" s="6">
        <v>45957.416666666701</v>
      </c>
      <c r="D35">
        <v>166</v>
      </c>
      <c r="E35">
        <v>1.1000000000000001</v>
      </c>
      <c r="F35">
        <v>1002.1</v>
      </c>
      <c r="G35">
        <v>20.6</v>
      </c>
      <c r="H35">
        <v>19</v>
      </c>
      <c r="I35">
        <v>1</v>
      </c>
      <c r="J35">
        <v>4</v>
      </c>
      <c r="K35">
        <v>7.93</v>
      </c>
      <c r="L35">
        <v>34</v>
      </c>
      <c r="M35">
        <v>17</v>
      </c>
      <c r="N35">
        <v>25.55</v>
      </c>
      <c r="O35">
        <v>2.78</v>
      </c>
      <c r="P35">
        <v>37</v>
      </c>
      <c r="Q35">
        <v>99.39</v>
      </c>
      <c r="R35">
        <v>72.5</v>
      </c>
      <c r="S35">
        <v>10.51</v>
      </c>
      <c r="T35">
        <v>72.95</v>
      </c>
      <c r="U35">
        <v>12.6</v>
      </c>
    </row>
    <row r="36" spans="1:21">
      <c r="A36" t="s">
        <v>181</v>
      </c>
      <c r="B36" t="s">
        <v>172</v>
      </c>
      <c r="C36" s="6">
        <v>45958.458333333299</v>
      </c>
      <c r="D36">
        <v>191</v>
      </c>
      <c r="E36">
        <v>-0.5</v>
      </c>
      <c r="F36">
        <v>996.3</v>
      </c>
      <c r="G36">
        <v>19.5</v>
      </c>
      <c r="H36">
        <v>19</v>
      </c>
      <c r="I36">
        <v>1</v>
      </c>
      <c r="J36">
        <v>2</v>
      </c>
      <c r="K36">
        <v>7.46</v>
      </c>
      <c r="L36">
        <v>34</v>
      </c>
      <c r="M36">
        <v>22</v>
      </c>
      <c r="N36">
        <v>12.46</v>
      </c>
      <c r="O36">
        <v>1.1000000000000001</v>
      </c>
      <c r="P36">
        <v>36</v>
      </c>
      <c r="Q36">
        <v>80.95</v>
      </c>
      <c r="R36">
        <v>52</v>
      </c>
      <c r="S36">
        <v>10.25</v>
      </c>
      <c r="T36">
        <v>64.23</v>
      </c>
    </row>
    <row r="37" spans="1:21">
      <c r="A37" t="s">
        <v>182</v>
      </c>
      <c r="B37" t="s">
        <v>172</v>
      </c>
      <c r="C37" s="6">
        <v>45959.395833333299</v>
      </c>
      <c r="D37">
        <v>213.5</v>
      </c>
      <c r="E37">
        <v>-1.6</v>
      </c>
      <c r="F37">
        <v>992</v>
      </c>
      <c r="G37">
        <v>20.399999999999999</v>
      </c>
      <c r="H37">
        <v>19</v>
      </c>
      <c r="I37">
        <v>1</v>
      </c>
      <c r="K37">
        <v>7.99</v>
      </c>
      <c r="M37">
        <v>1E-4</v>
      </c>
      <c r="N37">
        <v>4.88</v>
      </c>
      <c r="O37">
        <v>0.96</v>
      </c>
      <c r="Q37">
        <v>112.52</v>
      </c>
      <c r="R37">
        <v>80.489999999999995</v>
      </c>
      <c r="S37">
        <v>15.02</v>
      </c>
      <c r="T37">
        <v>71.540000000000006</v>
      </c>
      <c r="U37">
        <v>14.04</v>
      </c>
    </row>
    <row r="38" spans="1:21">
      <c r="A38" t="s">
        <v>183</v>
      </c>
      <c r="B38" t="s">
        <v>184</v>
      </c>
      <c r="C38" s="6">
        <v>45950.5</v>
      </c>
      <c r="D38">
        <v>0</v>
      </c>
      <c r="E38">
        <v>23.7</v>
      </c>
      <c r="F38">
        <v>1097.2</v>
      </c>
      <c r="G38">
        <v>20.3</v>
      </c>
      <c r="H38">
        <v>19</v>
      </c>
      <c r="I38">
        <v>4</v>
      </c>
      <c r="J38">
        <v>242</v>
      </c>
      <c r="K38">
        <v>0.8</v>
      </c>
      <c r="L38">
        <v>19</v>
      </c>
      <c r="M38">
        <v>7</v>
      </c>
      <c r="N38">
        <v>243.34</v>
      </c>
      <c r="O38">
        <v>123.57</v>
      </c>
      <c r="P38">
        <v>218</v>
      </c>
      <c r="Q38">
        <v>20</v>
      </c>
      <c r="U38">
        <v>0</v>
      </c>
    </row>
    <row r="39" spans="1:21">
      <c r="A39" t="s">
        <v>187</v>
      </c>
      <c r="B39" t="s">
        <v>184</v>
      </c>
      <c r="C39" s="6">
        <v>45950.625</v>
      </c>
      <c r="D39">
        <v>3</v>
      </c>
      <c r="E39">
        <v>23.6</v>
      </c>
      <c r="F39">
        <v>1097.0999999999999</v>
      </c>
      <c r="G39">
        <v>20.3</v>
      </c>
      <c r="H39">
        <v>19</v>
      </c>
      <c r="I39">
        <v>4</v>
      </c>
      <c r="J39">
        <v>237</v>
      </c>
      <c r="K39">
        <v>0.56000000000000005</v>
      </c>
      <c r="L39">
        <v>85</v>
      </c>
      <c r="M39">
        <v>13</v>
      </c>
      <c r="N39">
        <v>240.14</v>
      </c>
      <c r="O39">
        <v>121</v>
      </c>
      <c r="P39">
        <v>279</v>
      </c>
      <c r="Q39">
        <v>23.734999999999999</v>
      </c>
      <c r="R39">
        <v>12.324999999999999</v>
      </c>
      <c r="S39">
        <v>13.27</v>
      </c>
      <c r="T39">
        <v>51.94</v>
      </c>
    </row>
    <row r="40" spans="1:21">
      <c r="A40" t="s">
        <v>188</v>
      </c>
      <c r="B40" t="s">
        <v>184</v>
      </c>
      <c r="C40" s="6">
        <v>45951.375</v>
      </c>
      <c r="D40">
        <v>21</v>
      </c>
      <c r="E40">
        <v>22.9</v>
      </c>
      <c r="F40">
        <v>1094.3</v>
      </c>
      <c r="G40">
        <v>19.100000000000001</v>
      </c>
      <c r="H40">
        <v>19</v>
      </c>
      <c r="I40">
        <v>4</v>
      </c>
      <c r="J40">
        <v>235</v>
      </c>
      <c r="K40">
        <v>1.29</v>
      </c>
      <c r="L40">
        <v>57</v>
      </c>
      <c r="M40">
        <v>26</v>
      </c>
      <c r="N40">
        <v>227.89</v>
      </c>
      <c r="O40">
        <v>114.85</v>
      </c>
      <c r="P40">
        <v>250</v>
      </c>
      <c r="Q40">
        <v>29.03</v>
      </c>
      <c r="R40">
        <v>13.44</v>
      </c>
      <c r="S40">
        <v>15.87</v>
      </c>
      <c r="T40">
        <v>46.3</v>
      </c>
    </row>
    <row r="41" spans="1:21">
      <c r="A41" t="s">
        <v>189</v>
      </c>
      <c r="B41" t="s">
        <v>184</v>
      </c>
      <c r="C41" s="6">
        <v>45952.416666666701</v>
      </c>
      <c r="D41">
        <v>46</v>
      </c>
      <c r="E41">
        <v>20</v>
      </c>
      <c r="F41">
        <v>1081.0999999999999</v>
      </c>
      <c r="G41">
        <v>19.2</v>
      </c>
      <c r="H41">
        <v>19</v>
      </c>
      <c r="I41">
        <v>4</v>
      </c>
      <c r="J41">
        <v>150</v>
      </c>
      <c r="K41">
        <v>3.04</v>
      </c>
      <c r="L41">
        <v>23</v>
      </c>
      <c r="M41">
        <v>82</v>
      </c>
      <c r="N41">
        <v>195.2</v>
      </c>
      <c r="O41">
        <v>89.91</v>
      </c>
      <c r="P41">
        <v>146</v>
      </c>
      <c r="Q41">
        <v>44.39</v>
      </c>
      <c r="R41">
        <v>29.11</v>
      </c>
      <c r="S41">
        <v>14.36</v>
      </c>
      <c r="T41">
        <v>65.569999999999993</v>
      </c>
    </row>
    <row r="42" spans="1:21">
      <c r="A42" t="s">
        <v>190</v>
      </c>
      <c r="B42" t="s">
        <v>184</v>
      </c>
      <c r="C42" s="6">
        <v>45953.4375</v>
      </c>
      <c r="D42">
        <v>70.5</v>
      </c>
      <c r="E42">
        <v>15.5</v>
      </c>
      <c r="F42">
        <v>1061.3</v>
      </c>
      <c r="G42">
        <v>19.3</v>
      </c>
      <c r="H42">
        <v>19</v>
      </c>
      <c r="I42">
        <v>4</v>
      </c>
      <c r="J42">
        <v>37</v>
      </c>
      <c r="K42">
        <v>5.09</v>
      </c>
      <c r="L42">
        <v>17</v>
      </c>
      <c r="M42">
        <v>81</v>
      </c>
      <c r="N42">
        <v>154.62</v>
      </c>
      <c r="O42">
        <v>63.99</v>
      </c>
      <c r="P42">
        <v>48</v>
      </c>
      <c r="Q42">
        <v>63.52</v>
      </c>
      <c r="R42">
        <v>45.47</v>
      </c>
      <c r="S42">
        <v>13.42</v>
      </c>
      <c r="T42">
        <v>71.58</v>
      </c>
    </row>
    <row r="43" spans="1:21">
      <c r="A43" t="s">
        <v>191</v>
      </c>
      <c r="B43" t="s">
        <v>184</v>
      </c>
      <c r="C43" s="6">
        <v>45954.395833333299</v>
      </c>
      <c r="D43">
        <v>93.5</v>
      </c>
      <c r="E43">
        <v>11.7</v>
      </c>
      <c r="F43">
        <v>1045</v>
      </c>
      <c r="G43">
        <v>20</v>
      </c>
      <c r="H43">
        <v>19</v>
      </c>
      <c r="I43">
        <v>4</v>
      </c>
      <c r="J43">
        <v>13</v>
      </c>
      <c r="K43">
        <v>6.39</v>
      </c>
      <c r="L43">
        <v>21</v>
      </c>
      <c r="M43">
        <v>61</v>
      </c>
      <c r="N43">
        <v>120.6</v>
      </c>
      <c r="O43">
        <v>43.87</v>
      </c>
      <c r="P43">
        <v>32</v>
      </c>
      <c r="Q43">
        <v>61.9</v>
      </c>
      <c r="R43">
        <v>46.08</v>
      </c>
      <c r="S43">
        <v>13.52</v>
      </c>
      <c r="T43">
        <v>74.44</v>
      </c>
      <c r="U43">
        <v>6.92</v>
      </c>
    </row>
    <row r="44" spans="1:21">
      <c r="A44" t="s">
        <v>192</v>
      </c>
      <c r="B44" t="s">
        <v>184</v>
      </c>
      <c r="C44" s="6">
        <v>45957.416666666701</v>
      </c>
      <c r="D44">
        <v>166</v>
      </c>
      <c r="E44">
        <v>3</v>
      </c>
      <c r="F44">
        <v>1009.9</v>
      </c>
      <c r="G44">
        <v>19.899999999999999</v>
      </c>
      <c r="H44">
        <v>19</v>
      </c>
      <c r="I44">
        <v>4</v>
      </c>
      <c r="J44">
        <v>36</v>
      </c>
      <c r="K44">
        <v>7.34</v>
      </c>
      <c r="L44">
        <v>69</v>
      </c>
      <c r="M44">
        <v>30</v>
      </c>
      <c r="N44">
        <v>42.53</v>
      </c>
      <c r="O44">
        <v>7.49</v>
      </c>
      <c r="P44">
        <v>98</v>
      </c>
      <c r="Q44">
        <v>113.98</v>
      </c>
      <c r="R44">
        <v>79.03</v>
      </c>
      <c r="S44">
        <v>13.27</v>
      </c>
      <c r="T44">
        <v>69.34</v>
      </c>
      <c r="U44">
        <v>11.4</v>
      </c>
    </row>
    <row r="45" spans="1:21">
      <c r="A45" t="s">
        <v>193</v>
      </c>
      <c r="B45" t="s">
        <v>184</v>
      </c>
      <c r="C45" s="6">
        <v>45958.458333333299</v>
      </c>
      <c r="D45">
        <v>191</v>
      </c>
      <c r="E45">
        <v>1.2</v>
      </c>
      <c r="F45">
        <v>1003</v>
      </c>
      <c r="G45">
        <v>19.3</v>
      </c>
      <c r="H45">
        <v>19</v>
      </c>
      <c r="I45">
        <v>4</v>
      </c>
      <c r="J45">
        <v>32</v>
      </c>
      <c r="K45">
        <v>7.42</v>
      </c>
      <c r="L45">
        <v>71</v>
      </c>
      <c r="M45">
        <v>28</v>
      </c>
      <c r="N45">
        <v>26.93</v>
      </c>
      <c r="O45">
        <v>3.12</v>
      </c>
      <c r="P45">
        <v>97</v>
      </c>
      <c r="Q45">
        <v>82.03</v>
      </c>
      <c r="R45">
        <v>56.84</v>
      </c>
      <c r="S45">
        <v>8.61</v>
      </c>
      <c r="T45">
        <v>69.290000000000006</v>
      </c>
    </row>
    <row r="46" spans="1:21">
      <c r="A46" t="s">
        <v>194</v>
      </c>
      <c r="B46" t="s">
        <v>184</v>
      </c>
      <c r="C46" s="6">
        <v>45959.395833333299</v>
      </c>
      <c r="D46">
        <v>213.5</v>
      </c>
      <c r="E46">
        <v>-0.4</v>
      </c>
      <c r="F46">
        <v>996.4</v>
      </c>
      <c r="G46">
        <v>20.3</v>
      </c>
      <c r="H46">
        <v>19</v>
      </c>
      <c r="I46">
        <v>4</v>
      </c>
      <c r="K46">
        <v>7.93</v>
      </c>
      <c r="M46">
        <v>1E-4</v>
      </c>
      <c r="N46">
        <v>14.28</v>
      </c>
      <c r="O46">
        <v>2.48</v>
      </c>
      <c r="Q46">
        <v>103.15</v>
      </c>
      <c r="R46">
        <v>73.2</v>
      </c>
      <c r="S46">
        <v>12.66</v>
      </c>
      <c r="T46">
        <v>70.959999999999994</v>
      </c>
      <c r="U46">
        <v>13.35</v>
      </c>
    </row>
    <row r="47" spans="1:21">
      <c r="A47" t="s">
        <v>195</v>
      </c>
      <c r="B47" t="s">
        <v>196</v>
      </c>
      <c r="C47" s="6">
        <v>45950.5</v>
      </c>
      <c r="D47">
        <v>0</v>
      </c>
      <c r="E47">
        <v>23.5</v>
      </c>
      <c r="F47">
        <v>1095.3</v>
      </c>
      <c r="G47">
        <v>23.6</v>
      </c>
      <c r="H47">
        <v>23</v>
      </c>
      <c r="I47">
        <v>4</v>
      </c>
      <c r="J47">
        <v>244</v>
      </c>
      <c r="K47">
        <v>0.66</v>
      </c>
      <c r="L47">
        <v>22</v>
      </c>
      <c r="M47">
        <v>1</v>
      </c>
      <c r="N47">
        <v>236.79</v>
      </c>
      <c r="O47">
        <v>122.56</v>
      </c>
      <c r="P47">
        <v>223</v>
      </c>
      <c r="Q47">
        <v>15</v>
      </c>
      <c r="U47">
        <v>0</v>
      </c>
    </row>
    <row r="48" spans="1:21">
      <c r="A48" t="s">
        <v>199</v>
      </c>
      <c r="B48" t="s">
        <v>196</v>
      </c>
      <c r="C48" s="6">
        <v>45950.625</v>
      </c>
      <c r="D48">
        <v>3</v>
      </c>
      <c r="E48">
        <v>23.4</v>
      </c>
      <c r="F48">
        <v>1095.2</v>
      </c>
      <c r="G48">
        <v>23.6</v>
      </c>
      <c r="H48">
        <v>23</v>
      </c>
      <c r="I48">
        <v>4</v>
      </c>
      <c r="J48">
        <v>230</v>
      </c>
      <c r="K48">
        <v>0.14000000000000001</v>
      </c>
      <c r="L48">
        <v>85</v>
      </c>
      <c r="M48">
        <v>3</v>
      </c>
      <c r="N48">
        <v>234.35</v>
      </c>
      <c r="O48">
        <v>118.27</v>
      </c>
      <c r="P48">
        <v>274</v>
      </c>
      <c r="Q48">
        <v>30.605</v>
      </c>
      <c r="R48">
        <v>15.86</v>
      </c>
      <c r="S48">
        <v>7.78</v>
      </c>
      <c r="T48">
        <v>51.82</v>
      </c>
    </row>
    <row r="49" spans="1:21">
      <c r="A49" t="s">
        <v>200</v>
      </c>
      <c r="B49" t="s">
        <v>196</v>
      </c>
      <c r="C49" s="6">
        <v>45951.375</v>
      </c>
      <c r="D49">
        <v>21</v>
      </c>
      <c r="E49">
        <v>21.1</v>
      </c>
      <c r="F49">
        <v>1085</v>
      </c>
      <c r="G49">
        <v>23</v>
      </c>
      <c r="H49">
        <v>23</v>
      </c>
      <c r="I49">
        <v>4</v>
      </c>
      <c r="J49">
        <v>173</v>
      </c>
      <c r="K49">
        <v>1.69</v>
      </c>
      <c r="L49">
        <v>23</v>
      </c>
      <c r="M49">
        <v>59</v>
      </c>
      <c r="N49">
        <v>205.32</v>
      </c>
      <c r="O49">
        <v>101.07</v>
      </c>
      <c r="P49">
        <v>165</v>
      </c>
      <c r="Q49">
        <v>42.4</v>
      </c>
      <c r="R49">
        <v>27.34</v>
      </c>
      <c r="S49">
        <v>20.11</v>
      </c>
      <c r="T49">
        <v>64.489999999999995</v>
      </c>
    </row>
    <row r="50" spans="1:21">
      <c r="A50" t="s">
        <v>201</v>
      </c>
      <c r="B50" t="s">
        <v>196</v>
      </c>
      <c r="C50" s="6">
        <v>45952.416666666701</v>
      </c>
      <c r="D50">
        <v>46</v>
      </c>
      <c r="E50">
        <v>13.7</v>
      </c>
      <c r="F50">
        <v>1052.9000000000001</v>
      </c>
      <c r="G50">
        <v>23.1</v>
      </c>
      <c r="H50">
        <v>23</v>
      </c>
      <c r="I50">
        <v>4</v>
      </c>
      <c r="J50">
        <v>6</v>
      </c>
      <c r="K50">
        <v>5.39</v>
      </c>
      <c r="L50">
        <v>12</v>
      </c>
      <c r="M50">
        <v>79</v>
      </c>
      <c r="N50">
        <v>137.63999999999999</v>
      </c>
      <c r="O50">
        <v>54.09</v>
      </c>
      <c r="P50">
        <v>16</v>
      </c>
      <c r="Q50">
        <v>69.739999999999995</v>
      </c>
      <c r="R50">
        <v>54.38</v>
      </c>
      <c r="S50">
        <v>8.92</v>
      </c>
      <c r="T50">
        <v>77.97</v>
      </c>
    </row>
    <row r="51" spans="1:21">
      <c r="A51" t="s">
        <v>202</v>
      </c>
      <c r="B51" t="s">
        <v>196</v>
      </c>
      <c r="C51" s="6">
        <v>45953.4375</v>
      </c>
      <c r="D51">
        <v>70.5</v>
      </c>
      <c r="E51">
        <v>8.6999999999999993</v>
      </c>
      <c r="F51">
        <v>1031.7</v>
      </c>
      <c r="G51">
        <v>23.3</v>
      </c>
      <c r="H51">
        <v>23</v>
      </c>
      <c r="I51">
        <v>4</v>
      </c>
      <c r="J51">
        <v>1E-4</v>
      </c>
      <c r="K51">
        <v>6.36</v>
      </c>
      <c r="L51">
        <v>5</v>
      </c>
      <c r="M51">
        <v>46</v>
      </c>
      <c r="N51">
        <v>91.88</v>
      </c>
      <c r="O51">
        <v>28.02</v>
      </c>
      <c r="P51">
        <v>1E-4</v>
      </c>
      <c r="Q51">
        <v>63.29</v>
      </c>
      <c r="R51">
        <v>46.85</v>
      </c>
      <c r="S51">
        <v>9.83</v>
      </c>
      <c r="T51">
        <v>74.03</v>
      </c>
    </row>
    <row r="52" spans="1:21">
      <c r="A52" t="s">
        <v>203</v>
      </c>
      <c r="B52" t="s">
        <v>196</v>
      </c>
      <c r="C52" s="6">
        <v>45954.395833333299</v>
      </c>
      <c r="D52">
        <v>93.5</v>
      </c>
      <c r="E52">
        <v>5.4</v>
      </c>
      <c r="F52">
        <v>1018.9</v>
      </c>
      <c r="G52">
        <v>22.7</v>
      </c>
      <c r="H52">
        <v>23</v>
      </c>
      <c r="I52">
        <v>4</v>
      </c>
      <c r="J52">
        <v>1E-4</v>
      </c>
      <c r="K52">
        <v>6.64</v>
      </c>
      <c r="L52">
        <v>6</v>
      </c>
      <c r="M52">
        <v>45</v>
      </c>
      <c r="N52">
        <v>65.09</v>
      </c>
      <c r="O52">
        <v>15.36</v>
      </c>
      <c r="P52">
        <v>1E-4</v>
      </c>
      <c r="Q52">
        <v>69.739999999999995</v>
      </c>
      <c r="R52">
        <v>49.77</v>
      </c>
      <c r="S52">
        <v>9.0299999999999994</v>
      </c>
      <c r="T52">
        <v>71.37</v>
      </c>
      <c r="U52">
        <v>9.9600000000000009</v>
      </c>
    </row>
    <row r="53" spans="1:21">
      <c r="A53" t="s">
        <v>204</v>
      </c>
      <c r="B53" t="s">
        <v>196</v>
      </c>
      <c r="C53" s="6">
        <v>45957.416666666701</v>
      </c>
      <c r="D53">
        <v>166</v>
      </c>
      <c r="E53">
        <v>-1.5</v>
      </c>
      <c r="F53">
        <v>991.6</v>
      </c>
      <c r="G53">
        <v>22.6</v>
      </c>
      <c r="H53">
        <v>23</v>
      </c>
      <c r="I53">
        <v>4</v>
      </c>
      <c r="J53">
        <v>40</v>
      </c>
      <c r="K53">
        <v>7.08</v>
      </c>
      <c r="L53">
        <v>68</v>
      </c>
      <c r="M53">
        <v>31</v>
      </c>
      <c r="N53">
        <v>5.49</v>
      </c>
      <c r="O53">
        <v>1.05</v>
      </c>
      <c r="P53">
        <v>100</v>
      </c>
      <c r="Q53">
        <v>75.959999999999994</v>
      </c>
      <c r="R53">
        <v>46.01</v>
      </c>
      <c r="S53">
        <v>7.18</v>
      </c>
      <c r="T53">
        <v>60.57</v>
      </c>
      <c r="U53">
        <v>13.75</v>
      </c>
    </row>
    <row r="54" spans="1:21">
      <c r="A54" t="s">
        <v>205</v>
      </c>
      <c r="B54" t="s">
        <v>196</v>
      </c>
      <c r="C54" s="6">
        <v>45958.458333333299</v>
      </c>
      <c r="D54">
        <v>191</v>
      </c>
      <c r="E54">
        <v>-2.2999999999999998</v>
      </c>
      <c r="F54">
        <v>988.6</v>
      </c>
      <c r="G54">
        <v>23.2</v>
      </c>
      <c r="H54">
        <v>23</v>
      </c>
      <c r="I54">
        <v>4</v>
      </c>
      <c r="J54">
        <v>35</v>
      </c>
      <c r="K54">
        <v>7.27</v>
      </c>
      <c r="L54">
        <v>66</v>
      </c>
      <c r="M54">
        <v>29</v>
      </c>
      <c r="N54">
        <v>0.11</v>
      </c>
      <c r="O54">
        <v>0.56000000000000005</v>
      </c>
      <c r="P54">
        <v>95</v>
      </c>
      <c r="Q54">
        <v>61.37</v>
      </c>
      <c r="R54">
        <v>33.33</v>
      </c>
      <c r="S54">
        <v>9.14</v>
      </c>
      <c r="T54">
        <v>54.32</v>
      </c>
    </row>
    <row r="55" spans="1:21">
      <c r="A55" t="s">
        <v>206</v>
      </c>
      <c r="B55" t="s">
        <v>196</v>
      </c>
      <c r="C55" s="6">
        <v>45959.395833333299</v>
      </c>
      <c r="D55">
        <v>213.5</v>
      </c>
      <c r="E55">
        <v>-2.2999999999999998</v>
      </c>
      <c r="F55">
        <v>988.8</v>
      </c>
      <c r="G55">
        <v>22.9</v>
      </c>
      <c r="H55">
        <v>23</v>
      </c>
      <c r="I55">
        <v>4</v>
      </c>
      <c r="K55">
        <v>7.68</v>
      </c>
      <c r="M55">
        <v>10</v>
      </c>
      <c r="N55">
        <v>1.53</v>
      </c>
      <c r="O55">
        <v>2.97</v>
      </c>
      <c r="Q55">
        <v>89.25</v>
      </c>
      <c r="R55">
        <v>50.84</v>
      </c>
      <c r="S55">
        <v>11.19</v>
      </c>
      <c r="T55">
        <v>56.97</v>
      </c>
      <c r="U55">
        <v>14.2</v>
      </c>
    </row>
    <row r="56" spans="1:21">
      <c r="A56" t="s">
        <v>207</v>
      </c>
      <c r="B56" t="s">
        <v>208</v>
      </c>
      <c r="C56" s="6">
        <v>45964.5</v>
      </c>
      <c r="D56">
        <v>0</v>
      </c>
      <c r="E56">
        <v>23.8</v>
      </c>
      <c r="F56">
        <v>1098.4000000000001</v>
      </c>
      <c r="G56">
        <v>19</v>
      </c>
      <c r="H56">
        <v>19</v>
      </c>
      <c r="I56">
        <v>3</v>
      </c>
      <c r="J56">
        <v>249</v>
      </c>
      <c r="K56">
        <v>0.27</v>
      </c>
      <c r="L56">
        <v>14</v>
      </c>
      <c r="M56">
        <v>1E-4</v>
      </c>
      <c r="N56">
        <v>241.27</v>
      </c>
      <c r="O56">
        <v>125.07</v>
      </c>
      <c r="P56">
        <v>218</v>
      </c>
      <c r="Q56">
        <v>15</v>
      </c>
      <c r="U56">
        <v>0</v>
      </c>
    </row>
    <row r="57" spans="1:21">
      <c r="A57" t="s">
        <v>211</v>
      </c>
      <c r="B57" t="s">
        <v>208</v>
      </c>
      <c r="C57" s="6">
        <v>45965.416666666701</v>
      </c>
      <c r="D57">
        <v>22</v>
      </c>
      <c r="E57">
        <v>23.2</v>
      </c>
      <c r="F57">
        <v>1095.8</v>
      </c>
      <c r="G57">
        <v>18.8</v>
      </c>
      <c r="H57">
        <v>19</v>
      </c>
      <c r="I57">
        <v>3</v>
      </c>
      <c r="J57">
        <v>246</v>
      </c>
      <c r="K57">
        <v>0.88</v>
      </c>
      <c r="L57">
        <v>61</v>
      </c>
      <c r="M57">
        <v>22</v>
      </c>
      <c r="N57">
        <v>231.77</v>
      </c>
      <c r="O57">
        <v>116.07</v>
      </c>
      <c r="P57">
        <v>263</v>
      </c>
      <c r="Q57">
        <v>26.69</v>
      </c>
      <c r="R57">
        <v>15.324999999999999</v>
      </c>
      <c r="S57">
        <v>20</v>
      </c>
      <c r="T57">
        <v>57.41</v>
      </c>
    </row>
    <row r="58" spans="1:21">
      <c r="A58" t="s">
        <v>212</v>
      </c>
      <c r="B58" t="s">
        <v>208</v>
      </c>
      <c r="C58" s="6">
        <v>45966.375</v>
      </c>
      <c r="D58">
        <v>45</v>
      </c>
      <c r="E58">
        <v>20.399999999999999</v>
      </c>
      <c r="F58">
        <v>1083.0999999999999</v>
      </c>
      <c r="G58">
        <v>19.100000000000001</v>
      </c>
      <c r="H58">
        <v>19</v>
      </c>
      <c r="I58">
        <v>3</v>
      </c>
      <c r="J58">
        <v>168</v>
      </c>
      <c r="K58">
        <v>2.83</v>
      </c>
      <c r="L58">
        <v>24</v>
      </c>
      <c r="M58">
        <v>64</v>
      </c>
      <c r="N58">
        <v>201.27</v>
      </c>
      <c r="O58">
        <v>96.42</v>
      </c>
      <c r="P58">
        <v>162</v>
      </c>
      <c r="Q58">
        <v>49.54</v>
      </c>
      <c r="R58">
        <v>31.64</v>
      </c>
      <c r="S58">
        <v>24.65</v>
      </c>
      <c r="T58">
        <v>63.88</v>
      </c>
    </row>
    <row r="59" spans="1:21">
      <c r="A59" t="s">
        <v>213</v>
      </c>
      <c r="B59" t="s">
        <v>208</v>
      </c>
      <c r="C59" s="6">
        <v>45967.375</v>
      </c>
      <c r="D59">
        <v>69</v>
      </c>
      <c r="E59">
        <v>15.9</v>
      </c>
      <c r="F59">
        <v>1063.3</v>
      </c>
      <c r="G59">
        <v>19.2</v>
      </c>
      <c r="H59">
        <v>19</v>
      </c>
      <c r="I59">
        <v>3</v>
      </c>
      <c r="J59">
        <v>29</v>
      </c>
      <c r="K59">
        <v>4.03</v>
      </c>
      <c r="L59">
        <v>13</v>
      </c>
      <c r="M59">
        <v>58</v>
      </c>
      <c r="N59">
        <v>123.47</v>
      </c>
      <c r="O59">
        <v>52.17</v>
      </c>
      <c r="P59">
        <v>36</v>
      </c>
      <c r="Q59">
        <v>71.89</v>
      </c>
      <c r="R59">
        <v>54.69</v>
      </c>
      <c r="S59">
        <v>20.73</v>
      </c>
      <c r="T59">
        <v>76.069999999999993</v>
      </c>
    </row>
    <row r="60" spans="1:21">
      <c r="A60" t="s">
        <v>214</v>
      </c>
      <c r="B60" t="s">
        <v>208</v>
      </c>
      <c r="C60" s="6">
        <v>45968.395833333299</v>
      </c>
      <c r="D60">
        <v>93.5</v>
      </c>
      <c r="E60">
        <v>11.4</v>
      </c>
      <c r="F60">
        <v>1043.5999999999999</v>
      </c>
      <c r="G60">
        <v>20.6</v>
      </c>
      <c r="H60">
        <v>19</v>
      </c>
      <c r="I60">
        <v>3</v>
      </c>
      <c r="J60">
        <v>61</v>
      </c>
      <c r="K60">
        <v>6.39</v>
      </c>
      <c r="L60">
        <v>68</v>
      </c>
      <c r="M60">
        <v>62</v>
      </c>
      <c r="N60">
        <v>114.74</v>
      </c>
      <c r="O60">
        <v>39.799999999999997</v>
      </c>
      <c r="P60">
        <v>118</v>
      </c>
      <c r="Q60">
        <v>69.66</v>
      </c>
      <c r="R60">
        <v>46.54</v>
      </c>
      <c r="S60">
        <v>15.33</v>
      </c>
      <c r="T60">
        <v>66.81</v>
      </c>
      <c r="U60">
        <v>7.13</v>
      </c>
    </row>
    <row r="61" spans="1:21">
      <c r="A61" t="s">
        <v>215</v>
      </c>
      <c r="B61" t="s">
        <v>208</v>
      </c>
      <c r="C61" s="6">
        <v>45971.395833333299</v>
      </c>
      <c r="D61">
        <v>165.5</v>
      </c>
      <c r="E61">
        <v>2.1</v>
      </c>
      <c r="F61">
        <v>1006.1</v>
      </c>
      <c r="G61">
        <v>20.7</v>
      </c>
      <c r="H61">
        <v>19</v>
      </c>
      <c r="I61">
        <v>3</v>
      </c>
      <c r="J61">
        <v>24</v>
      </c>
      <c r="K61">
        <v>7.15</v>
      </c>
      <c r="L61">
        <v>73</v>
      </c>
      <c r="M61">
        <v>29</v>
      </c>
      <c r="N61">
        <v>34.049999999999997</v>
      </c>
      <c r="O61">
        <v>4.42</v>
      </c>
      <c r="P61">
        <v>92</v>
      </c>
      <c r="Q61">
        <v>91.32</v>
      </c>
      <c r="R61">
        <v>66.510000000000005</v>
      </c>
      <c r="S61">
        <v>13.2</v>
      </c>
      <c r="T61">
        <v>72.83</v>
      </c>
      <c r="U61">
        <v>12.15</v>
      </c>
    </row>
    <row r="62" spans="1:21">
      <c r="A62" t="s">
        <v>216</v>
      </c>
      <c r="B62" t="s">
        <v>208</v>
      </c>
      <c r="C62" s="6">
        <v>45972.479166666701</v>
      </c>
      <c r="D62">
        <v>191.5</v>
      </c>
      <c r="E62">
        <v>0.2</v>
      </c>
      <c r="F62">
        <v>990</v>
      </c>
      <c r="G62">
        <v>19.2</v>
      </c>
      <c r="H62">
        <v>19</v>
      </c>
      <c r="I62">
        <v>3</v>
      </c>
      <c r="J62">
        <v>26</v>
      </c>
      <c r="K62">
        <v>7.79</v>
      </c>
      <c r="L62">
        <v>65</v>
      </c>
      <c r="M62">
        <v>27</v>
      </c>
      <c r="N62">
        <v>18.2</v>
      </c>
      <c r="O62">
        <v>1.79</v>
      </c>
      <c r="P62">
        <v>86</v>
      </c>
      <c r="Q62">
        <v>116.05</v>
      </c>
      <c r="R62">
        <v>85.33</v>
      </c>
      <c r="S62">
        <v>10.85</v>
      </c>
      <c r="T62">
        <v>73.53</v>
      </c>
    </row>
    <row r="63" spans="1:21">
      <c r="A63" t="s">
        <v>217</v>
      </c>
      <c r="B63" t="s">
        <v>208</v>
      </c>
      <c r="C63" s="6">
        <v>45973.375</v>
      </c>
      <c r="D63">
        <v>213</v>
      </c>
      <c r="E63">
        <v>-1.1000000000000001</v>
      </c>
      <c r="F63">
        <v>993.9</v>
      </c>
      <c r="G63">
        <v>20.6</v>
      </c>
      <c r="H63">
        <v>19</v>
      </c>
      <c r="I63">
        <v>3</v>
      </c>
      <c r="J63">
        <v>29</v>
      </c>
      <c r="K63">
        <v>8.08</v>
      </c>
      <c r="L63">
        <v>66</v>
      </c>
      <c r="M63">
        <v>19</v>
      </c>
      <c r="N63">
        <v>9.52</v>
      </c>
      <c r="O63">
        <v>1.0900000000000001</v>
      </c>
      <c r="P63">
        <v>90</v>
      </c>
      <c r="Q63">
        <v>85.25</v>
      </c>
      <c r="R63">
        <v>57.3</v>
      </c>
      <c r="S63">
        <v>11.89</v>
      </c>
      <c r="T63">
        <v>67.209999999999994</v>
      </c>
      <c r="U63">
        <v>13.9</v>
      </c>
    </row>
    <row r="64" spans="1:21">
      <c r="A64" t="s">
        <v>218</v>
      </c>
      <c r="B64" t="s">
        <v>219</v>
      </c>
      <c r="C64" s="6">
        <v>45964.5</v>
      </c>
      <c r="D64">
        <v>0</v>
      </c>
      <c r="E64">
        <v>24.4</v>
      </c>
      <c r="F64">
        <v>1101.2</v>
      </c>
      <c r="G64">
        <v>19.100000000000001</v>
      </c>
      <c r="H64">
        <v>19</v>
      </c>
      <c r="I64">
        <v>3</v>
      </c>
      <c r="J64">
        <v>257</v>
      </c>
      <c r="K64">
        <v>0.21</v>
      </c>
      <c r="L64">
        <v>15</v>
      </c>
      <c r="M64">
        <v>10</v>
      </c>
      <c r="N64">
        <v>253.65</v>
      </c>
      <c r="O64">
        <v>127.15</v>
      </c>
      <c r="P64">
        <v>226</v>
      </c>
      <c r="Q64">
        <v>15</v>
      </c>
      <c r="U64">
        <v>0</v>
      </c>
    </row>
    <row r="65" spans="1:21">
      <c r="A65" t="s">
        <v>220</v>
      </c>
      <c r="B65" t="s">
        <v>219</v>
      </c>
      <c r="C65" s="6">
        <v>45965.416666666701</v>
      </c>
      <c r="D65">
        <v>22</v>
      </c>
      <c r="E65">
        <v>23.9</v>
      </c>
      <c r="F65">
        <v>1099.0999999999999</v>
      </c>
      <c r="G65">
        <v>19</v>
      </c>
      <c r="H65">
        <v>19</v>
      </c>
      <c r="I65">
        <v>3</v>
      </c>
      <c r="J65">
        <v>256</v>
      </c>
      <c r="K65">
        <v>0.95</v>
      </c>
      <c r="L65">
        <v>65</v>
      </c>
      <c r="M65">
        <v>22</v>
      </c>
      <c r="N65">
        <v>242.11</v>
      </c>
      <c r="O65">
        <v>121.23</v>
      </c>
      <c r="P65">
        <v>275</v>
      </c>
      <c r="Q65">
        <v>28.035</v>
      </c>
      <c r="R65">
        <v>16.164999999999999</v>
      </c>
      <c r="S65">
        <v>16.440000000000001</v>
      </c>
      <c r="T65">
        <v>57.67</v>
      </c>
    </row>
    <row r="66" spans="1:21">
      <c r="A66" t="s">
        <v>221</v>
      </c>
      <c r="B66" t="s">
        <v>219</v>
      </c>
      <c r="C66" s="6">
        <v>45966.375</v>
      </c>
      <c r="D66">
        <v>45</v>
      </c>
      <c r="E66">
        <v>21.2</v>
      </c>
      <c r="F66">
        <v>1086.3</v>
      </c>
      <c r="G66">
        <v>19.3</v>
      </c>
      <c r="H66">
        <v>19</v>
      </c>
      <c r="I66">
        <v>3</v>
      </c>
      <c r="J66">
        <v>182</v>
      </c>
      <c r="K66">
        <v>2.99</v>
      </c>
      <c r="L66">
        <v>26</v>
      </c>
      <c r="M66">
        <v>66</v>
      </c>
      <c r="N66">
        <v>205.14</v>
      </c>
      <c r="O66">
        <v>100.2</v>
      </c>
      <c r="P66">
        <v>175</v>
      </c>
      <c r="Q66">
        <v>46.02</v>
      </c>
      <c r="R66">
        <v>30.72</v>
      </c>
      <c r="S66">
        <v>24.22</v>
      </c>
      <c r="T66">
        <v>65.900000000000006</v>
      </c>
    </row>
    <row r="67" spans="1:21">
      <c r="A67" t="s">
        <v>222</v>
      </c>
      <c r="B67" t="s">
        <v>219</v>
      </c>
      <c r="C67" s="6">
        <v>45967.375</v>
      </c>
      <c r="D67">
        <v>69</v>
      </c>
      <c r="E67">
        <v>16.600000000000001</v>
      </c>
      <c r="F67">
        <v>1066.3</v>
      </c>
      <c r="G67">
        <v>19.3</v>
      </c>
      <c r="H67">
        <v>19</v>
      </c>
      <c r="I67">
        <v>3</v>
      </c>
      <c r="J67">
        <v>63</v>
      </c>
      <c r="K67">
        <v>5.17</v>
      </c>
      <c r="L67">
        <v>21</v>
      </c>
      <c r="M67">
        <v>78</v>
      </c>
      <c r="N67">
        <v>165.02</v>
      </c>
      <c r="O67">
        <v>68.48</v>
      </c>
      <c r="P67">
        <v>73</v>
      </c>
      <c r="Q67">
        <v>68.430000000000007</v>
      </c>
      <c r="R67">
        <v>51.08</v>
      </c>
      <c r="S67">
        <v>15.6</v>
      </c>
      <c r="T67">
        <v>74.64</v>
      </c>
    </row>
    <row r="68" spans="1:21">
      <c r="A68" t="s">
        <v>223</v>
      </c>
      <c r="B68" t="s">
        <v>219</v>
      </c>
      <c r="C68" s="6">
        <v>45968.395833333299</v>
      </c>
      <c r="D68">
        <v>93.5</v>
      </c>
      <c r="E68">
        <v>12</v>
      </c>
      <c r="F68">
        <v>1046.4000000000001</v>
      </c>
      <c r="G68">
        <v>20.6</v>
      </c>
      <c r="H68">
        <v>19</v>
      </c>
      <c r="I68">
        <v>3</v>
      </c>
      <c r="J68">
        <v>70</v>
      </c>
      <c r="K68">
        <v>6.62</v>
      </c>
      <c r="L68">
        <v>75</v>
      </c>
      <c r="M68">
        <v>68</v>
      </c>
      <c r="N68">
        <v>124.86</v>
      </c>
      <c r="O68">
        <v>44.45</v>
      </c>
      <c r="P68">
        <v>132</v>
      </c>
      <c r="Q68">
        <v>87.56</v>
      </c>
      <c r="R68">
        <v>61.9</v>
      </c>
      <c r="S68">
        <v>13.42</v>
      </c>
      <c r="T68">
        <v>70.7</v>
      </c>
      <c r="U68">
        <v>7.08</v>
      </c>
    </row>
    <row r="69" spans="1:21">
      <c r="A69" t="s">
        <v>224</v>
      </c>
      <c r="B69" t="s">
        <v>219</v>
      </c>
      <c r="C69" s="6">
        <v>45971.395833333299</v>
      </c>
      <c r="D69">
        <v>165.5</v>
      </c>
      <c r="E69">
        <v>2.9</v>
      </c>
      <c r="F69">
        <v>1009.3</v>
      </c>
      <c r="G69">
        <v>20.3</v>
      </c>
      <c r="H69">
        <v>19</v>
      </c>
      <c r="I69">
        <v>3</v>
      </c>
      <c r="J69">
        <v>35</v>
      </c>
      <c r="K69">
        <v>7.1</v>
      </c>
      <c r="L69">
        <v>73</v>
      </c>
      <c r="M69">
        <v>30</v>
      </c>
      <c r="N69">
        <v>41.7</v>
      </c>
      <c r="O69">
        <v>6.17</v>
      </c>
      <c r="P69">
        <v>102</v>
      </c>
      <c r="Q69">
        <v>83.72</v>
      </c>
      <c r="R69">
        <v>57.07</v>
      </c>
      <c r="S69">
        <v>11.38</v>
      </c>
      <c r="T69">
        <v>68.17</v>
      </c>
      <c r="U69">
        <v>12.06</v>
      </c>
    </row>
    <row r="70" spans="1:21">
      <c r="A70" t="s">
        <v>225</v>
      </c>
      <c r="B70" t="s">
        <v>219</v>
      </c>
      <c r="C70" s="6">
        <v>45972.479166666701</v>
      </c>
      <c r="D70">
        <v>191.5</v>
      </c>
      <c r="E70">
        <v>1</v>
      </c>
      <c r="F70">
        <v>1002.1</v>
      </c>
      <c r="G70">
        <v>19.399999999999999</v>
      </c>
      <c r="H70">
        <v>19</v>
      </c>
      <c r="I70">
        <v>3</v>
      </c>
      <c r="J70">
        <v>39</v>
      </c>
      <c r="K70">
        <v>8.01</v>
      </c>
      <c r="L70">
        <v>69</v>
      </c>
      <c r="M70">
        <v>29</v>
      </c>
      <c r="N70">
        <v>25.51</v>
      </c>
      <c r="O70">
        <v>2.69</v>
      </c>
      <c r="P70">
        <v>101</v>
      </c>
      <c r="Q70">
        <v>98.92</v>
      </c>
      <c r="R70">
        <v>68.59</v>
      </c>
      <c r="S70">
        <v>12.27</v>
      </c>
      <c r="T70">
        <v>69.33</v>
      </c>
    </row>
    <row r="71" spans="1:21">
      <c r="A71" t="s">
        <v>226</v>
      </c>
      <c r="B71" t="s">
        <v>219</v>
      </c>
      <c r="C71" s="6">
        <v>45973.375</v>
      </c>
      <c r="D71">
        <v>213</v>
      </c>
      <c r="E71">
        <v>-0.6</v>
      </c>
      <c r="F71">
        <v>995.6</v>
      </c>
      <c r="G71">
        <v>20.3</v>
      </c>
      <c r="H71">
        <v>19</v>
      </c>
      <c r="I71">
        <v>3</v>
      </c>
      <c r="J71">
        <v>38</v>
      </c>
      <c r="K71">
        <v>7.92</v>
      </c>
      <c r="L71">
        <v>67</v>
      </c>
      <c r="M71">
        <v>24</v>
      </c>
      <c r="N71">
        <v>13.82</v>
      </c>
      <c r="O71">
        <v>1.54</v>
      </c>
      <c r="P71">
        <v>98</v>
      </c>
      <c r="Q71">
        <v>78.42</v>
      </c>
      <c r="R71">
        <v>52.69</v>
      </c>
      <c r="S71">
        <v>11.07</v>
      </c>
      <c r="T71">
        <v>67.19</v>
      </c>
      <c r="U71">
        <v>13.9</v>
      </c>
    </row>
    <row r="72" spans="1:21">
      <c r="A72" t="s">
        <v>227</v>
      </c>
      <c r="B72" t="s">
        <v>228</v>
      </c>
      <c r="C72" s="6">
        <v>45964.5</v>
      </c>
      <c r="D72">
        <v>0</v>
      </c>
      <c r="E72">
        <v>23.6</v>
      </c>
      <c r="F72">
        <v>1098.3</v>
      </c>
      <c r="G72">
        <v>15.9</v>
      </c>
      <c r="H72">
        <v>15</v>
      </c>
      <c r="I72">
        <v>3</v>
      </c>
      <c r="J72">
        <v>252</v>
      </c>
      <c r="K72">
        <v>0.22</v>
      </c>
      <c r="L72">
        <v>13</v>
      </c>
      <c r="M72">
        <v>7</v>
      </c>
      <c r="N72">
        <v>240.4</v>
      </c>
      <c r="O72">
        <v>121.91</v>
      </c>
      <c r="P72">
        <v>220</v>
      </c>
      <c r="Q72">
        <v>15</v>
      </c>
      <c r="U72">
        <v>0</v>
      </c>
    </row>
    <row r="73" spans="1:21">
      <c r="A73" t="s">
        <v>231</v>
      </c>
      <c r="B73" t="s">
        <v>228</v>
      </c>
      <c r="C73" s="6">
        <v>45965.416666666701</v>
      </c>
      <c r="D73">
        <v>22</v>
      </c>
      <c r="E73">
        <v>23.5</v>
      </c>
      <c r="F73">
        <v>1097.9000000000001</v>
      </c>
      <c r="G73">
        <v>15.8</v>
      </c>
      <c r="H73">
        <v>15</v>
      </c>
      <c r="I73">
        <v>3</v>
      </c>
      <c r="J73">
        <v>255</v>
      </c>
      <c r="K73">
        <v>0.62</v>
      </c>
      <c r="L73">
        <v>76</v>
      </c>
      <c r="M73">
        <v>6</v>
      </c>
      <c r="N73">
        <v>235.81</v>
      </c>
      <c r="O73">
        <v>119.1</v>
      </c>
      <c r="P73">
        <v>286</v>
      </c>
      <c r="Q73">
        <v>23.425000000000001</v>
      </c>
      <c r="R73">
        <v>12.71</v>
      </c>
      <c r="S73">
        <v>16.07</v>
      </c>
      <c r="T73">
        <v>54.26</v>
      </c>
    </row>
    <row r="74" spans="1:21">
      <c r="A74" t="s">
        <v>232</v>
      </c>
      <c r="B74" t="s">
        <v>228</v>
      </c>
      <c r="C74" s="6">
        <v>45966.375</v>
      </c>
      <c r="D74">
        <v>45</v>
      </c>
      <c r="E74">
        <v>22.6</v>
      </c>
      <c r="F74">
        <v>1093.5</v>
      </c>
      <c r="G74">
        <v>16.2</v>
      </c>
      <c r="H74">
        <v>15</v>
      </c>
      <c r="I74">
        <v>3</v>
      </c>
      <c r="J74">
        <v>243</v>
      </c>
      <c r="K74">
        <v>1.1499999999999999</v>
      </c>
      <c r="L74">
        <v>50</v>
      </c>
      <c r="M74">
        <v>23</v>
      </c>
      <c r="N74">
        <v>222.43</v>
      </c>
      <c r="O74">
        <v>109.73</v>
      </c>
      <c r="P74">
        <v>249</v>
      </c>
      <c r="Q74">
        <v>29.11</v>
      </c>
      <c r="R74">
        <v>13.98</v>
      </c>
      <c r="S74">
        <v>17.940000000000001</v>
      </c>
      <c r="T74">
        <v>48.02</v>
      </c>
    </row>
    <row r="75" spans="1:21">
      <c r="A75" t="s">
        <v>233</v>
      </c>
      <c r="B75" t="s">
        <v>228</v>
      </c>
      <c r="C75" s="6">
        <v>45967.375</v>
      </c>
      <c r="D75">
        <v>69</v>
      </c>
      <c r="E75">
        <v>20.8</v>
      </c>
      <c r="F75">
        <v>1085.5</v>
      </c>
      <c r="G75">
        <v>16.5</v>
      </c>
      <c r="H75">
        <v>15</v>
      </c>
      <c r="I75">
        <v>3</v>
      </c>
      <c r="J75">
        <v>198</v>
      </c>
      <c r="K75">
        <v>2.57</v>
      </c>
      <c r="L75">
        <v>29</v>
      </c>
      <c r="M75">
        <v>53</v>
      </c>
      <c r="N75">
        <v>198.55</v>
      </c>
      <c r="O75">
        <v>94.4</v>
      </c>
      <c r="P75">
        <v>191</v>
      </c>
      <c r="Q75">
        <v>37.86</v>
      </c>
      <c r="R75">
        <v>22.2</v>
      </c>
      <c r="S75">
        <v>22.92</v>
      </c>
      <c r="T75">
        <v>58.62</v>
      </c>
    </row>
    <row r="76" spans="1:21">
      <c r="A76" t="s">
        <v>234</v>
      </c>
      <c r="B76" t="s">
        <v>228</v>
      </c>
      <c r="C76" s="6">
        <v>45968.395833333299</v>
      </c>
      <c r="D76">
        <v>93.5</v>
      </c>
      <c r="E76">
        <v>17.5</v>
      </c>
      <c r="F76">
        <v>1070.2</v>
      </c>
      <c r="G76">
        <v>18.5</v>
      </c>
      <c r="H76">
        <v>15</v>
      </c>
      <c r="I76">
        <v>3</v>
      </c>
      <c r="J76">
        <v>208</v>
      </c>
      <c r="K76">
        <v>4.18</v>
      </c>
      <c r="L76">
        <v>61</v>
      </c>
      <c r="M76">
        <v>78</v>
      </c>
      <c r="N76">
        <v>174.99</v>
      </c>
      <c r="O76">
        <v>74.849999999999994</v>
      </c>
      <c r="P76">
        <v>232</v>
      </c>
      <c r="Q76">
        <v>80.41</v>
      </c>
      <c r="R76">
        <v>54.38</v>
      </c>
      <c r="S76">
        <v>17.38</v>
      </c>
      <c r="T76">
        <v>67.62</v>
      </c>
      <c r="U76">
        <v>3.55</v>
      </c>
    </row>
    <row r="77" spans="1:21">
      <c r="A77" t="s">
        <v>235</v>
      </c>
      <c r="B77" t="s">
        <v>228</v>
      </c>
      <c r="C77" s="6">
        <v>45971.395833333299</v>
      </c>
      <c r="D77">
        <v>165.5</v>
      </c>
      <c r="E77">
        <v>8.5</v>
      </c>
      <c r="F77">
        <v>1032.4000000000001</v>
      </c>
      <c r="G77">
        <v>18.3</v>
      </c>
      <c r="H77">
        <v>15</v>
      </c>
      <c r="I77">
        <v>3</v>
      </c>
      <c r="J77">
        <v>93</v>
      </c>
      <c r="K77">
        <v>6.09</v>
      </c>
      <c r="L77">
        <v>49</v>
      </c>
      <c r="M77">
        <v>43</v>
      </c>
      <c r="N77">
        <v>90.06</v>
      </c>
      <c r="O77">
        <v>26.41</v>
      </c>
      <c r="P77">
        <v>126</v>
      </c>
      <c r="Q77">
        <v>70.89</v>
      </c>
      <c r="R77">
        <v>48.77</v>
      </c>
      <c r="S77">
        <v>13.65</v>
      </c>
      <c r="T77">
        <v>68.8</v>
      </c>
      <c r="U77">
        <v>8.4499999999999993</v>
      </c>
    </row>
    <row r="78" spans="1:21">
      <c r="A78" t="s">
        <v>236</v>
      </c>
      <c r="B78" t="s">
        <v>228</v>
      </c>
      <c r="C78" s="6">
        <v>45972.479166666701</v>
      </c>
      <c r="D78">
        <v>191.5</v>
      </c>
      <c r="E78">
        <v>6.4</v>
      </c>
      <c r="F78">
        <v>1024.0999999999999</v>
      </c>
      <c r="G78">
        <v>16.2</v>
      </c>
      <c r="H78">
        <v>15</v>
      </c>
      <c r="I78">
        <v>3</v>
      </c>
      <c r="J78">
        <v>83</v>
      </c>
      <c r="K78">
        <v>6.73</v>
      </c>
      <c r="L78">
        <v>49</v>
      </c>
      <c r="M78">
        <v>39</v>
      </c>
      <c r="N78">
        <v>69.72</v>
      </c>
      <c r="O78">
        <v>17.21</v>
      </c>
      <c r="P78">
        <v>118</v>
      </c>
      <c r="Q78">
        <v>81.260000000000005</v>
      </c>
      <c r="R78">
        <v>56.07</v>
      </c>
      <c r="S78">
        <v>9.83</v>
      </c>
      <c r="T78">
        <v>69</v>
      </c>
    </row>
    <row r="79" spans="1:21">
      <c r="A79" t="s">
        <v>237</v>
      </c>
      <c r="B79" t="s">
        <v>228</v>
      </c>
      <c r="C79" s="6">
        <v>45973.375</v>
      </c>
      <c r="D79">
        <v>213</v>
      </c>
      <c r="E79">
        <v>4.5</v>
      </c>
      <c r="F79">
        <v>1016.3</v>
      </c>
      <c r="G79">
        <v>18.100000000000001</v>
      </c>
      <c r="H79">
        <v>15</v>
      </c>
      <c r="I79">
        <v>3</v>
      </c>
      <c r="J79">
        <v>82</v>
      </c>
      <c r="K79">
        <v>7.39</v>
      </c>
      <c r="L79">
        <v>44</v>
      </c>
      <c r="M79">
        <v>27</v>
      </c>
      <c r="N79">
        <v>54.15</v>
      </c>
      <c r="O79">
        <v>11.15</v>
      </c>
      <c r="P79">
        <v>111</v>
      </c>
      <c r="Q79">
        <v>77.8</v>
      </c>
      <c r="R79">
        <v>55.76</v>
      </c>
      <c r="S79">
        <v>14.71</v>
      </c>
      <c r="T79">
        <v>71.760000000000005</v>
      </c>
      <c r="U79">
        <v>10.8</v>
      </c>
    </row>
    <row r="80" spans="1:21">
      <c r="A80" t="s">
        <v>238</v>
      </c>
      <c r="B80" t="s">
        <v>239</v>
      </c>
      <c r="C80" s="6">
        <v>45964.708333333299</v>
      </c>
      <c r="D80">
        <v>0</v>
      </c>
      <c r="E80">
        <v>24.1</v>
      </c>
      <c r="F80">
        <v>1098.5</v>
      </c>
      <c r="G80">
        <v>23.4</v>
      </c>
      <c r="H80">
        <v>23</v>
      </c>
      <c r="I80">
        <v>3</v>
      </c>
      <c r="J80">
        <v>240</v>
      </c>
      <c r="K80">
        <v>0.08</v>
      </c>
      <c r="L80">
        <v>18</v>
      </c>
      <c r="M80">
        <v>4</v>
      </c>
      <c r="N80">
        <v>242.1</v>
      </c>
      <c r="O80">
        <v>125.22</v>
      </c>
      <c r="P80">
        <v>214</v>
      </c>
      <c r="Q80">
        <v>15</v>
      </c>
      <c r="U80">
        <v>0</v>
      </c>
    </row>
    <row r="81" spans="1:21">
      <c r="A81" t="s">
        <v>242</v>
      </c>
      <c r="B81" t="s">
        <v>239</v>
      </c>
      <c r="C81" s="6">
        <v>45965.416666666701</v>
      </c>
      <c r="D81">
        <v>17</v>
      </c>
      <c r="E81">
        <v>23.2</v>
      </c>
      <c r="F81">
        <v>1094.3</v>
      </c>
      <c r="G81">
        <v>22.7</v>
      </c>
      <c r="H81">
        <v>23</v>
      </c>
      <c r="I81">
        <v>3</v>
      </c>
      <c r="J81">
        <v>247</v>
      </c>
      <c r="K81">
        <v>1.4</v>
      </c>
      <c r="L81">
        <v>49</v>
      </c>
      <c r="M81">
        <v>34</v>
      </c>
      <c r="N81">
        <v>230.76</v>
      </c>
      <c r="O81">
        <v>113.46</v>
      </c>
      <c r="P81">
        <v>252</v>
      </c>
      <c r="Q81">
        <v>27.11</v>
      </c>
      <c r="R81">
        <v>16.36</v>
      </c>
      <c r="S81">
        <v>15.86</v>
      </c>
      <c r="T81">
        <v>60.34</v>
      </c>
    </row>
    <row r="82" spans="1:21">
      <c r="A82" t="s">
        <v>243</v>
      </c>
      <c r="B82" t="s">
        <v>239</v>
      </c>
      <c r="C82" s="6">
        <v>45966.375</v>
      </c>
      <c r="D82">
        <v>40</v>
      </c>
      <c r="E82">
        <v>17.100000000000001</v>
      </c>
      <c r="F82">
        <v>1067.4000000000001</v>
      </c>
      <c r="G82">
        <v>23</v>
      </c>
      <c r="H82">
        <v>23</v>
      </c>
      <c r="I82">
        <v>3</v>
      </c>
      <c r="J82">
        <v>74</v>
      </c>
      <c r="K82">
        <v>4.84</v>
      </c>
      <c r="L82">
        <v>17</v>
      </c>
      <c r="M82">
        <v>91</v>
      </c>
      <c r="N82">
        <v>169.54</v>
      </c>
      <c r="O82">
        <v>72.34</v>
      </c>
      <c r="P82">
        <v>77</v>
      </c>
      <c r="Q82">
        <v>58.53</v>
      </c>
      <c r="R82">
        <v>42.55</v>
      </c>
      <c r="S82">
        <v>13.78</v>
      </c>
      <c r="T82">
        <v>72.7</v>
      </c>
    </row>
    <row r="83" spans="1:21">
      <c r="A83" t="s">
        <v>244</v>
      </c>
      <c r="B83" t="s">
        <v>239</v>
      </c>
      <c r="C83" s="6">
        <v>45967.375</v>
      </c>
      <c r="D83">
        <v>64</v>
      </c>
      <c r="E83">
        <v>11.1</v>
      </c>
      <c r="F83">
        <v>1041.7</v>
      </c>
      <c r="G83">
        <v>23</v>
      </c>
      <c r="H83">
        <v>23</v>
      </c>
      <c r="I83">
        <v>3</v>
      </c>
      <c r="J83">
        <v>11</v>
      </c>
      <c r="K83">
        <v>6.39</v>
      </c>
      <c r="L83">
        <v>17</v>
      </c>
      <c r="M83">
        <v>66</v>
      </c>
      <c r="N83">
        <v>114.42</v>
      </c>
      <c r="O83">
        <v>39.090000000000003</v>
      </c>
      <c r="P83">
        <v>26</v>
      </c>
      <c r="Q83">
        <v>64.290000000000006</v>
      </c>
      <c r="R83">
        <v>48</v>
      </c>
      <c r="S83">
        <v>9.08</v>
      </c>
      <c r="T83">
        <v>74.67</v>
      </c>
    </row>
    <row r="84" spans="1:21">
      <c r="A84" t="s">
        <v>245</v>
      </c>
      <c r="B84" t="s">
        <v>239</v>
      </c>
      <c r="C84" s="6">
        <v>45968.395833333299</v>
      </c>
      <c r="D84">
        <v>88.5</v>
      </c>
      <c r="E84">
        <v>6.8</v>
      </c>
      <c r="F84">
        <v>1024.0999999999999</v>
      </c>
      <c r="G84">
        <v>22.9</v>
      </c>
      <c r="H84">
        <v>23</v>
      </c>
      <c r="I84">
        <v>3</v>
      </c>
      <c r="J84">
        <v>68</v>
      </c>
      <c r="K84">
        <v>6.78</v>
      </c>
      <c r="L84">
        <v>75</v>
      </c>
      <c r="M84">
        <v>52</v>
      </c>
      <c r="N84">
        <v>75.66</v>
      </c>
      <c r="O84">
        <v>20.309999999999999</v>
      </c>
      <c r="P84">
        <v>130</v>
      </c>
      <c r="Q84">
        <v>76.650000000000006</v>
      </c>
      <c r="R84">
        <v>48.54</v>
      </c>
      <c r="S84">
        <v>12.53</v>
      </c>
      <c r="T84">
        <v>63.33</v>
      </c>
      <c r="U84">
        <v>9.61</v>
      </c>
    </row>
    <row r="85" spans="1:21">
      <c r="A85" t="s">
        <v>246</v>
      </c>
      <c r="B85" t="s">
        <v>239</v>
      </c>
      <c r="C85" s="6">
        <v>45971.395833333299</v>
      </c>
      <c r="D85">
        <v>160.5</v>
      </c>
      <c r="E85">
        <v>-0.8</v>
      </c>
      <c r="F85">
        <v>994.3</v>
      </c>
      <c r="G85">
        <v>22.9</v>
      </c>
      <c r="H85">
        <v>23</v>
      </c>
      <c r="I85">
        <v>3</v>
      </c>
      <c r="J85">
        <v>62</v>
      </c>
      <c r="K85">
        <v>7.37</v>
      </c>
      <c r="L85">
        <v>72</v>
      </c>
      <c r="M85">
        <v>33</v>
      </c>
      <c r="N85">
        <v>11.13</v>
      </c>
      <c r="O85">
        <v>1.43</v>
      </c>
      <c r="P85">
        <v>123</v>
      </c>
      <c r="Q85">
        <v>73.5</v>
      </c>
      <c r="R85">
        <v>42.86</v>
      </c>
      <c r="S85">
        <v>9.1999999999999993</v>
      </c>
      <c r="T85">
        <v>58.31</v>
      </c>
      <c r="U85">
        <v>13.8</v>
      </c>
    </row>
    <row r="86" spans="1:21">
      <c r="A86" t="s">
        <v>247</v>
      </c>
      <c r="B86" t="s">
        <v>239</v>
      </c>
      <c r="C86" s="6">
        <v>45972.479166666701</v>
      </c>
      <c r="D86">
        <v>186.5</v>
      </c>
      <c r="E86">
        <v>-2.1</v>
      </c>
      <c r="F86">
        <v>989.5</v>
      </c>
      <c r="G86">
        <v>22.8</v>
      </c>
      <c r="H86">
        <v>23</v>
      </c>
      <c r="I86">
        <v>3</v>
      </c>
      <c r="J86">
        <v>68</v>
      </c>
      <c r="K86">
        <v>7.9</v>
      </c>
      <c r="L86">
        <v>81</v>
      </c>
      <c r="M86">
        <v>32</v>
      </c>
      <c r="N86">
        <v>1.65</v>
      </c>
      <c r="O86">
        <v>0.93</v>
      </c>
      <c r="P86">
        <v>137</v>
      </c>
      <c r="Q86">
        <v>74.959999999999994</v>
      </c>
      <c r="R86">
        <v>41.71</v>
      </c>
      <c r="S86">
        <v>9.73</v>
      </c>
      <c r="T86">
        <v>55.64</v>
      </c>
    </row>
    <row r="87" spans="1:21">
      <c r="A87" t="s">
        <v>248</v>
      </c>
      <c r="B87" t="s">
        <v>239</v>
      </c>
      <c r="C87" s="6">
        <v>45973.375</v>
      </c>
      <c r="D87">
        <v>208</v>
      </c>
      <c r="E87">
        <v>-2.2000000000000002</v>
      </c>
      <c r="F87">
        <v>989</v>
      </c>
      <c r="G87">
        <v>22.7</v>
      </c>
      <c r="H87">
        <v>23</v>
      </c>
      <c r="I87">
        <v>3</v>
      </c>
      <c r="J87">
        <v>63</v>
      </c>
      <c r="K87">
        <v>7.86</v>
      </c>
      <c r="L87">
        <v>77</v>
      </c>
      <c r="M87">
        <v>30</v>
      </c>
      <c r="N87">
        <v>0.72</v>
      </c>
      <c r="O87">
        <v>0.6</v>
      </c>
      <c r="P87">
        <v>129</v>
      </c>
      <c r="Q87">
        <v>72.430000000000007</v>
      </c>
      <c r="R87">
        <v>39.17</v>
      </c>
      <c r="S87">
        <v>11.13</v>
      </c>
      <c r="T87">
        <v>54.08</v>
      </c>
      <c r="U87">
        <v>14.5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00"/>
  <sheetViews>
    <sheetView workbookViewId="0"/>
  </sheetViews>
  <sheetFormatPr baseColWidth="10" defaultColWidth="9" defaultRowHeight="14.25"/>
  <cols>
    <col min="1" max="3" width="18" customWidth="1"/>
    <col min="4" max="7" width="13" customWidth="1"/>
  </cols>
  <sheetData>
    <row r="1" spans="1:7" ht="15">
      <c r="A1" s="1" t="s">
        <v>270</v>
      </c>
      <c r="B1" s="1" t="s">
        <v>98</v>
      </c>
      <c r="C1" s="1" t="s">
        <v>115</v>
      </c>
      <c r="D1" s="1" t="s">
        <v>274</v>
      </c>
      <c r="E1" s="1" t="s">
        <v>1</v>
      </c>
      <c r="F1" s="1" t="s">
        <v>275</v>
      </c>
      <c r="G1" s="1" t="s">
        <v>276</v>
      </c>
    </row>
    <row r="2" spans="1:7" ht="105">
      <c r="A2" s="3" t="s">
        <v>163</v>
      </c>
      <c r="B2" s="3" t="s">
        <v>159</v>
      </c>
      <c r="C2" s="3">
        <v>22.5</v>
      </c>
      <c r="D2" s="3" t="s">
        <v>56</v>
      </c>
      <c r="E2" s="3">
        <v>45797</v>
      </c>
      <c r="F2" s="3" t="s">
        <v>277</v>
      </c>
      <c r="G2" s="3" t="s">
        <v>278</v>
      </c>
    </row>
    <row r="3" spans="1:7" ht="15">
      <c r="A3" s="3"/>
      <c r="B3" s="3"/>
      <c r="C3" s="3"/>
      <c r="D3" s="3"/>
      <c r="E3" s="3"/>
      <c r="F3" s="3"/>
      <c r="G3" s="3"/>
    </row>
    <row r="4" spans="1:7" ht="15">
      <c r="A4" s="3"/>
      <c r="B4" s="3"/>
      <c r="C4" s="3"/>
      <c r="D4" s="3"/>
      <c r="E4" s="3"/>
      <c r="F4" s="3"/>
      <c r="G4" s="3"/>
    </row>
    <row r="5" spans="1:7" ht="15">
      <c r="A5" s="3"/>
      <c r="B5" s="3"/>
      <c r="C5" s="3"/>
      <c r="D5" s="3"/>
      <c r="E5" s="3"/>
      <c r="F5" s="3"/>
      <c r="G5" s="3"/>
    </row>
    <row r="6" spans="1:7" ht="15">
      <c r="A6" s="3"/>
      <c r="B6" s="3"/>
      <c r="C6" s="3"/>
      <c r="D6" s="3"/>
      <c r="E6" s="3"/>
      <c r="F6" s="3"/>
      <c r="G6" s="3"/>
    </row>
    <row r="7" spans="1:7" ht="15">
      <c r="A7" s="3"/>
      <c r="B7" s="3"/>
      <c r="C7" s="3"/>
      <c r="D7" s="3"/>
      <c r="E7" s="3"/>
      <c r="F7" s="3"/>
      <c r="G7" s="3"/>
    </row>
    <row r="8" spans="1:7" ht="15">
      <c r="A8" s="3"/>
      <c r="B8" s="3"/>
      <c r="C8" s="3"/>
      <c r="D8" s="3"/>
      <c r="E8" s="3"/>
      <c r="F8" s="3"/>
      <c r="G8" s="3"/>
    </row>
    <row r="9" spans="1:7" ht="15">
      <c r="A9" s="3"/>
      <c r="B9" s="3"/>
      <c r="C9" s="3"/>
      <c r="D9" s="3"/>
      <c r="E9" s="3"/>
      <c r="F9" s="3"/>
      <c r="G9" s="3"/>
    </row>
    <row r="10" spans="1:7" ht="15">
      <c r="A10" s="3"/>
      <c r="B10" s="3"/>
      <c r="C10" s="3"/>
      <c r="D10" s="3"/>
      <c r="E10" s="3"/>
      <c r="F10" s="3"/>
      <c r="G10" s="3"/>
    </row>
    <row r="11" spans="1:7" ht="15">
      <c r="A11" s="3"/>
      <c r="B11" s="3"/>
      <c r="C11" s="3"/>
      <c r="D11" s="3"/>
      <c r="E11" s="3"/>
      <c r="F11" s="3"/>
      <c r="G11" s="3"/>
    </row>
    <row r="12" spans="1:7" ht="15">
      <c r="A12" s="3"/>
      <c r="B12" s="3"/>
      <c r="C12" s="3"/>
      <c r="D12" s="3"/>
      <c r="E12" s="3"/>
      <c r="F12" s="3"/>
      <c r="G12" s="3"/>
    </row>
    <row r="13" spans="1:7" ht="15">
      <c r="A13" s="3"/>
      <c r="B13" s="3"/>
      <c r="C13" s="3"/>
      <c r="D13" s="3"/>
      <c r="E13" s="3"/>
      <c r="F13" s="3"/>
      <c r="G13" s="3"/>
    </row>
    <row r="14" spans="1:7" ht="15">
      <c r="A14" s="3"/>
      <c r="B14" s="3"/>
      <c r="C14" s="3"/>
      <c r="D14" s="3"/>
      <c r="E14" s="3"/>
      <c r="F14" s="3"/>
      <c r="G14" s="3"/>
    </row>
    <row r="15" spans="1:7" ht="15">
      <c r="A15" s="3"/>
      <c r="B15" s="3"/>
      <c r="C15" s="3"/>
      <c r="D15" s="3"/>
      <c r="E15" s="3"/>
      <c r="F15" s="3"/>
      <c r="G15" s="3"/>
    </row>
    <row r="16" spans="1:7" ht="15">
      <c r="A16" s="3"/>
      <c r="B16" s="3"/>
      <c r="C16" s="3"/>
      <c r="D16" s="3"/>
      <c r="E16" s="3"/>
      <c r="F16" s="3"/>
      <c r="G16" s="3"/>
    </row>
    <row r="17" spans="1:7" ht="15">
      <c r="A17" s="3"/>
      <c r="B17" s="3"/>
      <c r="C17" s="3"/>
      <c r="D17" s="3"/>
      <c r="E17" s="3"/>
      <c r="F17" s="3"/>
      <c r="G17" s="3"/>
    </row>
    <row r="18" spans="1:7" ht="15">
      <c r="A18" s="3"/>
      <c r="B18" s="3"/>
      <c r="C18" s="3"/>
      <c r="D18" s="3"/>
      <c r="E18" s="3"/>
      <c r="F18" s="3"/>
      <c r="G18" s="3"/>
    </row>
    <row r="19" spans="1:7" ht="15">
      <c r="A19" s="3"/>
      <c r="B19" s="3"/>
      <c r="C19" s="3"/>
      <c r="D19" s="3"/>
      <c r="E19" s="3"/>
      <c r="F19" s="3"/>
      <c r="G19" s="3"/>
    </row>
    <row r="20" spans="1:7" ht="15">
      <c r="A20" s="3"/>
      <c r="B20" s="3"/>
      <c r="C20" s="3"/>
      <c r="D20" s="3"/>
      <c r="E20" s="3"/>
      <c r="F20" s="3"/>
      <c r="G20" s="3"/>
    </row>
    <row r="21" spans="1:7" ht="15">
      <c r="A21" s="3"/>
      <c r="B21" s="3"/>
      <c r="C21" s="3"/>
      <c r="D21" s="3"/>
      <c r="E21" s="3"/>
      <c r="F21" s="3"/>
      <c r="G21" s="3"/>
    </row>
    <row r="22" spans="1:7" ht="15">
      <c r="A22" s="3"/>
      <c r="B22" s="3"/>
      <c r="C22" s="3"/>
      <c r="D22" s="3"/>
      <c r="E22" s="3"/>
      <c r="F22" s="3"/>
      <c r="G22" s="3"/>
    </row>
    <row r="23" spans="1:7" ht="15">
      <c r="A23" s="3"/>
      <c r="B23" s="3"/>
      <c r="C23" s="3"/>
      <c r="D23" s="3"/>
      <c r="E23" s="3"/>
      <c r="F23" s="3"/>
      <c r="G23" s="3"/>
    </row>
    <row r="24" spans="1:7" ht="15">
      <c r="A24" s="3"/>
      <c r="B24" s="3"/>
      <c r="C24" s="3"/>
      <c r="D24" s="3"/>
      <c r="E24" s="3"/>
      <c r="F24" s="3"/>
      <c r="G24" s="3"/>
    </row>
    <row r="25" spans="1:7" ht="15">
      <c r="A25" s="3"/>
      <c r="B25" s="3"/>
      <c r="C25" s="3"/>
      <c r="D25" s="3"/>
      <c r="E25" s="3"/>
      <c r="F25" s="3"/>
      <c r="G25" s="3"/>
    </row>
    <row r="26" spans="1:7" ht="15">
      <c r="A26" s="3"/>
      <c r="B26" s="3"/>
      <c r="C26" s="3"/>
      <c r="D26" s="3"/>
      <c r="E26" s="3"/>
      <c r="F26" s="3"/>
      <c r="G26" s="3"/>
    </row>
    <row r="27" spans="1:7" ht="15">
      <c r="A27" s="3"/>
      <c r="B27" s="3"/>
      <c r="C27" s="3"/>
      <c r="D27" s="3"/>
      <c r="E27" s="3"/>
      <c r="F27" s="3"/>
      <c r="G27" s="3"/>
    </row>
    <row r="28" spans="1:7" ht="15">
      <c r="A28" s="3"/>
      <c r="B28" s="3"/>
      <c r="C28" s="3"/>
      <c r="D28" s="3"/>
      <c r="E28" s="3"/>
      <c r="F28" s="3"/>
      <c r="G28" s="3"/>
    </row>
    <row r="29" spans="1:7" ht="15">
      <c r="A29" s="3"/>
      <c r="B29" s="3"/>
      <c r="C29" s="3"/>
      <c r="D29" s="3"/>
      <c r="E29" s="3"/>
      <c r="F29" s="3"/>
      <c r="G29" s="3"/>
    </row>
    <row r="30" spans="1:7" ht="15">
      <c r="A30" s="3"/>
      <c r="B30" s="3"/>
      <c r="C30" s="3"/>
      <c r="D30" s="3"/>
      <c r="E30" s="3"/>
      <c r="F30" s="3"/>
      <c r="G30" s="3"/>
    </row>
    <row r="31" spans="1:7" ht="15">
      <c r="A31" s="3"/>
      <c r="B31" s="3"/>
      <c r="C31" s="3"/>
      <c r="D31" s="3"/>
      <c r="E31" s="3"/>
      <c r="F31" s="3"/>
      <c r="G31" s="3"/>
    </row>
    <row r="32" spans="1:7" ht="15">
      <c r="A32" s="3"/>
      <c r="B32" s="3"/>
      <c r="C32" s="3"/>
      <c r="D32" s="3"/>
      <c r="E32" s="3"/>
      <c r="F32" s="3"/>
      <c r="G32" s="3"/>
    </row>
    <row r="33" spans="1:7" ht="15">
      <c r="A33" s="3"/>
      <c r="B33" s="3"/>
      <c r="C33" s="3"/>
      <c r="D33" s="3"/>
      <c r="E33" s="3"/>
      <c r="F33" s="3"/>
      <c r="G33" s="3"/>
    </row>
    <row r="34" spans="1:7" ht="15">
      <c r="A34" s="3"/>
      <c r="B34" s="3"/>
      <c r="C34" s="3"/>
      <c r="D34" s="3"/>
      <c r="E34" s="3"/>
      <c r="F34" s="3"/>
      <c r="G34" s="3"/>
    </row>
    <row r="35" spans="1:7" ht="15">
      <c r="A35" s="3"/>
      <c r="B35" s="3"/>
      <c r="C35" s="3"/>
      <c r="D35" s="3"/>
      <c r="E35" s="3"/>
      <c r="F35" s="3"/>
      <c r="G35" s="3"/>
    </row>
    <row r="36" spans="1:7" ht="15">
      <c r="A36" s="3"/>
      <c r="B36" s="3"/>
      <c r="C36" s="3"/>
      <c r="D36" s="3"/>
      <c r="E36" s="3"/>
      <c r="F36" s="3"/>
      <c r="G36" s="3"/>
    </row>
    <row r="37" spans="1:7" ht="15">
      <c r="A37" s="3"/>
      <c r="B37" s="3"/>
      <c r="C37" s="3"/>
      <c r="D37" s="3"/>
      <c r="E37" s="3"/>
      <c r="F37" s="3"/>
      <c r="G37" s="3"/>
    </row>
    <row r="38" spans="1:7" ht="15">
      <c r="A38" s="3"/>
      <c r="B38" s="3"/>
      <c r="C38" s="3"/>
      <c r="D38" s="3"/>
      <c r="E38" s="3"/>
      <c r="F38" s="3"/>
      <c r="G38" s="3"/>
    </row>
    <row r="39" spans="1:7" ht="15">
      <c r="A39" s="3"/>
      <c r="B39" s="3"/>
      <c r="C39" s="3"/>
      <c r="D39" s="3"/>
      <c r="E39" s="3"/>
      <c r="F39" s="3"/>
      <c r="G39" s="3"/>
    </row>
    <row r="40" spans="1:7" ht="15">
      <c r="A40" s="3"/>
      <c r="B40" s="3"/>
      <c r="C40" s="3"/>
      <c r="D40" s="3"/>
      <c r="E40" s="3"/>
      <c r="F40" s="3"/>
      <c r="G40" s="3"/>
    </row>
    <row r="41" spans="1:7" ht="15">
      <c r="A41" s="3"/>
      <c r="B41" s="3"/>
      <c r="C41" s="3"/>
      <c r="D41" s="3"/>
      <c r="E41" s="3"/>
      <c r="F41" s="3"/>
      <c r="G41" s="3"/>
    </row>
    <row r="42" spans="1:7" ht="15">
      <c r="A42" s="3"/>
      <c r="B42" s="3"/>
      <c r="C42" s="3"/>
      <c r="D42" s="3"/>
      <c r="E42" s="3"/>
      <c r="F42" s="3"/>
      <c r="G42" s="3"/>
    </row>
    <row r="43" spans="1:7" ht="15">
      <c r="A43" s="3"/>
      <c r="B43" s="3"/>
      <c r="C43" s="3"/>
      <c r="D43" s="3"/>
      <c r="E43" s="3"/>
      <c r="F43" s="3"/>
      <c r="G43" s="3"/>
    </row>
    <row r="44" spans="1:7" ht="15">
      <c r="A44" s="3"/>
      <c r="B44" s="3"/>
      <c r="C44" s="3"/>
      <c r="D44" s="3"/>
      <c r="E44" s="3"/>
      <c r="F44" s="3"/>
      <c r="G44" s="3"/>
    </row>
    <row r="45" spans="1:7" ht="15">
      <c r="A45" s="3"/>
      <c r="B45" s="3"/>
      <c r="C45" s="3"/>
      <c r="D45" s="3"/>
      <c r="E45" s="3"/>
      <c r="F45" s="3"/>
      <c r="G45" s="3"/>
    </row>
    <row r="46" spans="1:7" ht="15">
      <c r="A46" s="3"/>
      <c r="B46" s="3"/>
      <c r="C46" s="3"/>
      <c r="D46" s="3"/>
      <c r="E46" s="3"/>
      <c r="F46" s="3"/>
      <c r="G46" s="3"/>
    </row>
    <row r="47" spans="1:7" ht="15">
      <c r="A47" s="3"/>
      <c r="B47" s="3"/>
      <c r="C47" s="3"/>
      <c r="D47" s="3"/>
      <c r="E47" s="3"/>
      <c r="F47" s="3"/>
      <c r="G47" s="3"/>
    </row>
    <row r="48" spans="1:7" ht="15">
      <c r="A48" s="3"/>
      <c r="B48" s="3"/>
      <c r="C48" s="3"/>
      <c r="D48" s="3"/>
      <c r="E48" s="3"/>
      <c r="F48" s="3"/>
      <c r="G48" s="3"/>
    </row>
    <row r="49" spans="1:7" ht="15">
      <c r="A49" s="3"/>
      <c r="B49" s="3"/>
      <c r="C49" s="3"/>
      <c r="D49" s="3"/>
      <c r="E49" s="3"/>
      <c r="F49" s="3"/>
      <c r="G49" s="3"/>
    </row>
    <row r="50" spans="1:7" ht="15">
      <c r="A50" s="3"/>
      <c r="B50" s="3"/>
      <c r="C50" s="3"/>
      <c r="D50" s="3"/>
      <c r="E50" s="3"/>
      <c r="F50" s="3"/>
      <c r="G50" s="3"/>
    </row>
    <row r="51" spans="1:7" ht="15">
      <c r="A51" s="3"/>
      <c r="B51" s="3"/>
      <c r="C51" s="3"/>
      <c r="D51" s="3"/>
      <c r="E51" s="3"/>
      <c r="F51" s="3"/>
      <c r="G51" s="3"/>
    </row>
    <row r="52" spans="1:7" ht="15">
      <c r="A52" s="3"/>
      <c r="B52" s="3"/>
      <c r="C52" s="3"/>
      <c r="D52" s="3"/>
      <c r="E52" s="3"/>
      <c r="F52" s="3"/>
      <c r="G52" s="3"/>
    </row>
    <row r="53" spans="1:7" ht="15">
      <c r="A53" s="3"/>
      <c r="B53" s="3"/>
      <c r="C53" s="3"/>
      <c r="D53" s="3"/>
      <c r="E53" s="3"/>
      <c r="F53" s="3"/>
      <c r="G53" s="3"/>
    </row>
    <row r="54" spans="1:7" ht="15">
      <c r="A54" s="3"/>
      <c r="B54" s="3"/>
      <c r="C54" s="3"/>
      <c r="D54" s="3"/>
      <c r="E54" s="3"/>
      <c r="F54" s="3"/>
      <c r="G54" s="3"/>
    </row>
    <row r="55" spans="1:7" ht="15">
      <c r="A55" s="3"/>
      <c r="B55" s="3"/>
      <c r="C55" s="3"/>
      <c r="D55" s="3"/>
      <c r="E55" s="3"/>
      <c r="F55" s="3"/>
      <c r="G55" s="3"/>
    </row>
    <row r="56" spans="1:7" ht="15">
      <c r="A56" s="3"/>
      <c r="B56" s="3"/>
      <c r="C56" s="3"/>
      <c r="D56" s="3"/>
      <c r="E56" s="3"/>
      <c r="F56" s="3"/>
      <c r="G56" s="3"/>
    </row>
    <row r="57" spans="1:7" ht="15">
      <c r="A57" s="3"/>
      <c r="B57" s="3"/>
      <c r="C57" s="3"/>
      <c r="D57" s="3"/>
      <c r="E57" s="3"/>
      <c r="F57" s="3"/>
      <c r="G57" s="3"/>
    </row>
    <row r="58" spans="1:7" ht="15">
      <c r="A58" s="3"/>
      <c r="B58" s="3"/>
      <c r="C58" s="3"/>
      <c r="D58" s="3"/>
      <c r="E58" s="3"/>
      <c r="F58" s="3"/>
      <c r="G58" s="3"/>
    </row>
    <row r="59" spans="1:7" ht="15">
      <c r="A59" s="3"/>
      <c r="B59" s="3"/>
      <c r="C59" s="3"/>
      <c r="D59" s="3"/>
      <c r="E59" s="3"/>
      <c r="F59" s="3"/>
      <c r="G59" s="3"/>
    </row>
    <row r="60" spans="1:7" ht="15">
      <c r="A60" s="3"/>
      <c r="B60" s="3"/>
      <c r="C60" s="3"/>
      <c r="D60" s="3"/>
      <c r="E60" s="3"/>
      <c r="F60" s="3"/>
      <c r="G60" s="3"/>
    </row>
    <row r="61" spans="1:7" ht="15">
      <c r="A61" s="3"/>
      <c r="B61" s="3"/>
      <c r="C61" s="3"/>
      <c r="D61" s="3"/>
      <c r="E61" s="3"/>
      <c r="F61" s="3"/>
      <c r="G61" s="3"/>
    </row>
    <row r="62" spans="1:7" ht="15">
      <c r="A62" s="3"/>
      <c r="B62" s="3"/>
      <c r="C62" s="3"/>
      <c r="D62" s="3"/>
      <c r="E62" s="3"/>
      <c r="F62" s="3"/>
      <c r="G62" s="3"/>
    </row>
    <row r="63" spans="1:7" ht="15">
      <c r="A63" s="3"/>
      <c r="B63" s="3"/>
      <c r="C63" s="3"/>
      <c r="D63" s="3"/>
      <c r="E63" s="3"/>
      <c r="F63" s="3"/>
      <c r="G63" s="3"/>
    </row>
    <row r="64" spans="1:7" ht="15">
      <c r="A64" s="3"/>
      <c r="B64" s="3"/>
      <c r="C64" s="3"/>
      <c r="D64" s="3"/>
      <c r="E64" s="3"/>
      <c r="F64" s="3"/>
      <c r="G64" s="3"/>
    </row>
    <row r="65" spans="1:7" ht="15">
      <c r="A65" s="3"/>
      <c r="B65" s="3"/>
      <c r="C65" s="3"/>
      <c r="D65" s="3"/>
      <c r="E65" s="3"/>
      <c r="F65" s="3"/>
      <c r="G65" s="3"/>
    </row>
    <row r="66" spans="1:7" ht="15">
      <c r="A66" s="3"/>
      <c r="B66" s="3"/>
      <c r="C66" s="3"/>
      <c r="D66" s="3"/>
      <c r="E66" s="3"/>
      <c r="F66" s="3"/>
      <c r="G66" s="3"/>
    </row>
    <row r="67" spans="1:7" ht="15">
      <c r="A67" s="3"/>
      <c r="B67" s="3"/>
      <c r="C67" s="3"/>
      <c r="D67" s="3"/>
      <c r="E67" s="3"/>
      <c r="F67" s="3"/>
      <c r="G67" s="3"/>
    </row>
    <row r="68" spans="1:7" ht="15">
      <c r="A68" s="3"/>
      <c r="B68" s="3"/>
      <c r="C68" s="3"/>
      <c r="D68" s="3"/>
      <c r="E68" s="3"/>
      <c r="F68" s="3"/>
      <c r="G68" s="3"/>
    </row>
    <row r="69" spans="1:7" ht="15">
      <c r="A69" s="3"/>
      <c r="B69" s="3"/>
      <c r="C69" s="3"/>
      <c r="D69" s="3"/>
      <c r="E69" s="3"/>
      <c r="F69" s="3"/>
      <c r="G69" s="3"/>
    </row>
    <row r="70" spans="1:7" ht="15">
      <c r="A70" s="3"/>
      <c r="B70" s="3"/>
      <c r="C70" s="3"/>
      <c r="D70" s="3"/>
      <c r="E70" s="3"/>
      <c r="F70" s="3"/>
      <c r="G70" s="3"/>
    </row>
    <row r="71" spans="1:7" ht="15">
      <c r="A71" s="3"/>
      <c r="B71" s="3"/>
      <c r="C71" s="3"/>
      <c r="D71" s="3"/>
      <c r="E71" s="3"/>
      <c r="F71" s="3"/>
      <c r="G71" s="3"/>
    </row>
    <row r="72" spans="1:7" ht="15">
      <c r="A72" s="3"/>
      <c r="B72" s="3"/>
      <c r="C72" s="3"/>
      <c r="D72" s="3"/>
      <c r="E72" s="3"/>
      <c r="F72" s="3"/>
      <c r="G72" s="3"/>
    </row>
    <row r="73" spans="1:7" ht="15">
      <c r="A73" s="3"/>
      <c r="B73" s="3"/>
      <c r="C73" s="3"/>
      <c r="D73" s="3"/>
      <c r="E73" s="3"/>
      <c r="F73" s="3"/>
      <c r="G73" s="3"/>
    </row>
    <row r="74" spans="1:7" ht="15">
      <c r="A74" s="3"/>
      <c r="B74" s="3"/>
      <c r="C74" s="3"/>
      <c r="D74" s="3"/>
      <c r="E74" s="3"/>
      <c r="F74" s="3"/>
      <c r="G74" s="3"/>
    </row>
    <row r="75" spans="1:7" ht="15">
      <c r="A75" s="3"/>
      <c r="B75" s="3"/>
      <c r="C75" s="3"/>
      <c r="D75" s="3"/>
      <c r="E75" s="3"/>
      <c r="F75" s="3"/>
      <c r="G75" s="3"/>
    </row>
    <row r="76" spans="1:7" ht="15">
      <c r="A76" s="3"/>
      <c r="B76" s="3"/>
      <c r="C76" s="3"/>
      <c r="D76" s="3"/>
      <c r="E76" s="3"/>
      <c r="F76" s="3"/>
      <c r="G76" s="3"/>
    </row>
    <row r="77" spans="1:7" ht="15">
      <c r="A77" s="3"/>
      <c r="B77" s="3"/>
      <c r="C77" s="3"/>
      <c r="D77" s="3"/>
      <c r="E77" s="3"/>
      <c r="F77" s="3"/>
      <c r="G77" s="3"/>
    </row>
    <row r="78" spans="1:7" ht="15">
      <c r="A78" s="3"/>
      <c r="B78" s="3"/>
      <c r="C78" s="3"/>
      <c r="D78" s="3"/>
      <c r="E78" s="3"/>
      <c r="F78" s="3"/>
      <c r="G78" s="3"/>
    </row>
    <row r="79" spans="1:7" ht="15">
      <c r="A79" s="3"/>
      <c r="B79" s="3"/>
      <c r="C79" s="3"/>
      <c r="D79" s="3"/>
      <c r="E79" s="3"/>
      <c r="F79" s="3"/>
      <c r="G79" s="3"/>
    </row>
    <row r="80" spans="1:7" ht="15">
      <c r="A80" s="3"/>
      <c r="B80" s="3"/>
      <c r="C80" s="3"/>
      <c r="D80" s="3"/>
      <c r="E80" s="3"/>
      <c r="F80" s="3"/>
      <c r="G80" s="3"/>
    </row>
    <row r="81" spans="1:7" ht="15">
      <c r="A81" s="3"/>
      <c r="B81" s="3"/>
      <c r="C81" s="3"/>
      <c r="D81" s="3"/>
      <c r="E81" s="3"/>
      <c r="F81" s="3"/>
      <c r="G81" s="3"/>
    </row>
    <row r="82" spans="1:7" ht="15">
      <c r="A82" s="3"/>
      <c r="B82" s="3"/>
      <c r="C82" s="3"/>
      <c r="D82" s="3"/>
      <c r="E82" s="3"/>
      <c r="F82" s="3"/>
      <c r="G82" s="3"/>
    </row>
    <row r="83" spans="1:7" ht="15">
      <c r="A83" s="3"/>
      <c r="B83" s="3"/>
      <c r="C83" s="3"/>
      <c r="D83" s="3"/>
      <c r="E83" s="3"/>
      <c r="F83" s="3"/>
      <c r="G83" s="3"/>
    </row>
    <row r="84" spans="1:7" ht="15">
      <c r="A84" s="3"/>
      <c r="B84" s="3"/>
      <c r="C84" s="3"/>
      <c r="D84" s="3"/>
      <c r="E84" s="3"/>
      <c r="F84" s="3"/>
      <c r="G84" s="3"/>
    </row>
    <row r="85" spans="1:7" ht="15">
      <c r="A85" s="3"/>
      <c r="B85" s="3"/>
      <c r="C85" s="3"/>
      <c r="D85" s="3"/>
      <c r="E85" s="3"/>
      <c r="F85" s="3"/>
      <c r="G85" s="3"/>
    </row>
    <row r="86" spans="1:7" ht="15">
      <c r="A86" s="3"/>
      <c r="B86" s="3"/>
      <c r="C86" s="3"/>
      <c r="D86" s="3"/>
      <c r="E86" s="3"/>
      <c r="F86" s="3"/>
      <c r="G86" s="3"/>
    </row>
    <row r="87" spans="1:7" ht="15">
      <c r="A87" s="3"/>
      <c r="B87" s="3"/>
      <c r="C87" s="3"/>
      <c r="D87" s="3"/>
      <c r="E87" s="3"/>
      <c r="F87" s="3"/>
      <c r="G87" s="3"/>
    </row>
    <row r="88" spans="1:7" ht="15">
      <c r="A88" s="3"/>
      <c r="B88" s="3"/>
      <c r="C88" s="3"/>
      <c r="D88" s="3"/>
      <c r="E88" s="3"/>
      <c r="F88" s="3"/>
      <c r="G88" s="3"/>
    </row>
    <row r="89" spans="1:7" ht="15">
      <c r="A89" s="3"/>
      <c r="B89" s="3"/>
      <c r="C89" s="3"/>
      <c r="D89" s="3"/>
      <c r="E89" s="3"/>
      <c r="F89" s="3"/>
      <c r="G89" s="3"/>
    </row>
    <row r="90" spans="1:7" ht="15">
      <c r="A90" s="3"/>
      <c r="B90" s="3"/>
      <c r="C90" s="3"/>
      <c r="D90" s="3"/>
      <c r="E90" s="3"/>
      <c r="F90" s="3"/>
      <c r="G90" s="3"/>
    </row>
    <row r="91" spans="1:7" ht="15">
      <c r="A91" s="3"/>
      <c r="B91" s="3"/>
      <c r="C91" s="3"/>
      <c r="D91" s="3"/>
      <c r="E91" s="3"/>
      <c r="F91" s="3"/>
      <c r="G91" s="3"/>
    </row>
    <row r="92" spans="1:7" ht="15">
      <c r="A92" s="3"/>
      <c r="B92" s="3"/>
      <c r="C92" s="3"/>
      <c r="D92" s="3"/>
      <c r="E92" s="3"/>
      <c r="F92" s="3"/>
      <c r="G92" s="3"/>
    </row>
    <row r="93" spans="1:7" ht="15">
      <c r="A93" s="3"/>
      <c r="B93" s="3"/>
      <c r="C93" s="3"/>
      <c r="D93" s="3"/>
      <c r="E93" s="3"/>
      <c r="F93" s="3"/>
      <c r="G93" s="3"/>
    </row>
    <row r="94" spans="1:7" ht="15">
      <c r="A94" s="3"/>
      <c r="B94" s="3"/>
      <c r="C94" s="3"/>
      <c r="D94" s="3"/>
      <c r="E94" s="3"/>
      <c r="F94" s="3"/>
      <c r="G94" s="3"/>
    </row>
    <row r="95" spans="1:7" ht="15">
      <c r="A95" s="3"/>
      <c r="B95" s="3"/>
      <c r="C95" s="3"/>
      <c r="D95" s="3"/>
      <c r="E95" s="3"/>
      <c r="F95" s="3"/>
      <c r="G95" s="3"/>
    </row>
    <row r="96" spans="1:7" ht="15">
      <c r="A96" s="3"/>
      <c r="B96" s="3"/>
      <c r="C96" s="3"/>
      <c r="D96" s="3"/>
      <c r="E96" s="3"/>
      <c r="F96" s="3"/>
      <c r="G96" s="3"/>
    </row>
    <row r="97" spans="1:7" ht="15">
      <c r="A97" s="3"/>
      <c r="B97" s="3"/>
      <c r="C97" s="3"/>
      <c r="D97" s="3"/>
      <c r="E97" s="3"/>
      <c r="F97" s="3"/>
      <c r="G97" s="3"/>
    </row>
    <row r="98" spans="1:7" ht="15">
      <c r="A98" s="3"/>
      <c r="B98" s="3"/>
      <c r="C98" s="3"/>
      <c r="D98" s="3"/>
      <c r="E98" s="3"/>
      <c r="F98" s="3"/>
      <c r="G98" s="3"/>
    </row>
    <row r="99" spans="1:7" ht="15">
      <c r="A99" s="3"/>
      <c r="B99" s="3"/>
      <c r="C99" s="3"/>
      <c r="D99" s="3"/>
      <c r="E99" s="3"/>
      <c r="F99" s="3"/>
      <c r="G99" s="3"/>
    </row>
    <row r="100" spans="1:7" ht="15">
      <c r="A100" s="3"/>
      <c r="B100" s="3"/>
      <c r="C100" s="3"/>
      <c r="D100" s="3"/>
      <c r="E100" s="3"/>
      <c r="F100" s="3"/>
      <c r="G100" s="3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2"/>
  <sheetViews>
    <sheetView workbookViewId="0"/>
  </sheetViews>
  <sheetFormatPr baseColWidth="10" defaultColWidth="9" defaultRowHeight="14.25"/>
  <cols>
    <col min="1" max="3" width="36" customWidth="1"/>
  </cols>
  <sheetData>
    <row r="1" spans="1:3" ht="15">
      <c r="A1" s="1" t="s">
        <v>279</v>
      </c>
      <c r="B1" s="1" t="s">
        <v>280</v>
      </c>
      <c r="C1" s="1" t="s">
        <v>281</v>
      </c>
    </row>
    <row r="2" spans="1:3">
      <c r="A2" t="s">
        <v>20</v>
      </c>
      <c r="B2" t="s">
        <v>270</v>
      </c>
      <c r="C2" t="s">
        <v>282</v>
      </c>
    </row>
    <row r="3" spans="1:3">
      <c r="A3" t="s">
        <v>21</v>
      </c>
      <c r="B3" t="s">
        <v>271</v>
      </c>
      <c r="C3" t="s">
        <v>283</v>
      </c>
    </row>
    <row r="4" spans="1:3">
      <c r="A4" t="s">
        <v>22</v>
      </c>
      <c r="B4" t="s">
        <v>115</v>
      </c>
      <c r="C4" t="s">
        <v>284</v>
      </c>
    </row>
    <row r="5" spans="1:3">
      <c r="A5" t="s">
        <v>23</v>
      </c>
      <c r="B5" t="s">
        <v>116</v>
      </c>
      <c r="C5" t="s">
        <v>285</v>
      </c>
    </row>
    <row r="6" spans="1:3">
      <c r="A6" t="s">
        <v>99</v>
      </c>
      <c r="B6" t="s">
        <v>99</v>
      </c>
      <c r="C6" t="s">
        <v>286</v>
      </c>
    </row>
    <row r="7" spans="1:3">
      <c r="A7" t="s">
        <v>24</v>
      </c>
      <c r="B7" t="s">
        <v>272</v>
      </c>
      <c r="C7" t="s">
        <v>287</v>
      </c>
    </row>
    <row r="8" spans="1:3">
      <c r="A8" t="s">
        <v>56</v>
      </c>
      <c r="B8" t="s">
        <v>56</v>
      </c>
      <c r="C8" t="s">
        <v>288</v>
      </c>
    </row>
    <row r="9" spans="1:3">
      <c r="A9" t="s">
        <v>27</v>
      </c>
      <c r="B9" t="s">
        <v>103</v>
      </c>
      <c r="C9" t="s">
        <v>287</v>
      </c>
    </row>
    <row r="10" spans="1:3">
      <c r="A10" t="s">
        <v>28</v>
      </c>
      <c r="B10" t="s">
        <v>289</v>
      </c>
      <c r="C10" t="s">
        <v>290</v>
      </c>
    </row>
    <row r="11" spans="1:3">
      <c r="A11" t="s">
        <v>29</v>
      </c>
      <c r="B11" t="s">
        <v>29</v>
      </c>
      <c r="C11" t="s">
        <v>287</v>
      </c>
    </row>
    <row r="12" spans="1:3">
      <c r="A12" t="s">
        <v>30</v>
      </c>
      <c r="B12" t="s">
        <v>30</v>
      </c>
      <c r="C12" t="s">
        <v>287</v>
      </c>
    </row>
    <row r="13" spans="1:3">
      <c r="A13" t="s">
        <v>31</v>
      </c>
      <c r="B13" t="s">
        <v>31</v>
      </c>
      <c r="C13" t="s">
        <v>287</v>
      </c>
    </row>
    <row r="14" spans="1:3">
      <c r="A14" t="s">
        <v>32</v>
      </c>
      <c r="B14" t="s">
        <v>32</v>
      </c>
      <c r="C14" t="s">
        <v>287</v>
      </c>
    </row>
    <row r="15" spans="1:3">
      <c r="A15" t="s">
        <v>33</v>
      </c>
      <c r="B15" t="s">
        <v>273</v>
      </c>
      <c r="C15" t="s">
        <v>287</v>
      </c>
    </row>
    <row r="16" spans="1:3">
      <c r="A16" t="s">
        <v>36</v>
      </c>
      <c r="B16" t="s">
        <v>36</v>
      </c>
      <c r="C16" t="s">
        <v>287</v>
      </c>
    </row>
    <row r="17" spans="1:3">
      <c r="A17" t="s">
        <v>37</v>
      </c>
      <c r="B17" t="s">
        <v>101</v>
      </c>
      <c r="C17" t="s">
        <v>291</v>
      </c>
    </row>
    <row r="18" spans="1:3">
      <c r="A18" t="s">
        <v>59</v>
      </c>
      <c r="B18" t="s">
        <v>105</v>
      </c>
      <c r="C18" t="s">
        <v>292</v>
      </c>
    </row>
    <row r="19" spans="1:3">
      <c r="A19" t="s">
        <v>60</v>
      </c>
      <c r="B19" t="s">
        <v>107</v>
      </c>
      <c r="C19" t="s">
        <v>293</v>
      </c>
    </row>
    <row r="20" spans="1:3">
      <c r="A20" t="s">
        <v>61</v>
      </c>
      <c r="B20" t="s">
        <v>102</v>
      </c>
      <c r="C20" t="s">
        <v>294</v>
      </c>
    </row>
    <row r="21" spans="1:3">
      <c r="A21" t="s">
        <v>90</v>
      </c>
      <c r="B21" t="s">
        <v>295</v>
      </c>
      <c r="C21" t="s">
        <v>296</v>
      </c>
    </row>
    <row r="22" spans="1:3">
      <c r="A22" t="s">
        <v>46</v>
      </c>
      <c r="B22" t="s">
        <v>98</v>
      </c>
      <c r="C22" t="s">
        <v>297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00_Resumen</vt:lpstr>
      <vt:lpstr>Datos_homologados</vt:lpstr>
      <vt:lpstr>MS007</vt:lpstr>
      <vt:lpstr>MS008</vt:lpstr>
      <vt:lpstr>MS009</vt:lpstr>
      <vt:lpstr>MS010</vt:lpstr>
      <vt:lpstr>MS011</vt:lpstr>
      <vt:lpstr>MS012</vt:lpstr>
      <vt:lpstr>MS013</vt:lpstr>
      <vt:lpstr>MS014</vt:lpstr>
      <vt:lpstr>MS015</vt:lpstr>
      <vt:lpstr>MS016</vt:lpstr>
      <vt:lpstr>Diseño_CCD</vt:lpstr>
      <vt:lpstr>Datos_originales</vt:lpstr>
      <vt:lpstr>Flags_calidad</vt:lpstr>
      <vt:lpstr>Diccionario_mapeo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Luis Torrealba Vasquez</cp:lastModifiedBy>
  <dcterms:modified xsi:type="dcterms:W3CDTF">2026-06-08T22:37:40Z</dcterms:modified>
</cp:coreProperties>
</file>