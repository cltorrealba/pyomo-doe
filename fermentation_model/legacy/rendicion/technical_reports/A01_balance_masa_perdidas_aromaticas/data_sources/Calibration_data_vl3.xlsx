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torrealba\Downloads\"/>
    </mc:Choice>
  </mc:AlternateContent>
  <xr:revisionPtr revIDLastSave="0" documentId="8_{BCD407A4-4298-482C-8E62-D5DA98A96BDE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25026" sheetId="1" r:id="rId1"/>
    <sheet name="25027" sheetId="2" r:id="rId2"/>
    <sheet name="25085" sheetId="3" r:id="rId3"/>
    <sheet name="25086" sheetId="4" r:id="rId4"/>
    <sheet name="25150" sheetId="5" r:id="rId5"/>
    <sheet name="25151" sheetId="6" r:id="rId6"/>
    <sheet name="25170" sheetId="7" r:id="rId7"/>
    <sheet name="2517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2" l="1"/>
  <c r="O28" i="2"/>
  <c r="O25" i="2"/>
  <c r="O24" i="2"/>
  <c r="O21" i="2"/>
  <c r="O20" i="2"/>
  <c r="O17" i="2"/>
  <c r="O16" i="2"/>
  <c r="O12" i="2"/>
  <c r="O9" i="2"/>
  <c r="O8" i="2"/>
  <c r="O4" i="2"/>
  <c r="C3" i="8"/>
  <c r="C4" i="8" s="1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4" i="5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4" i="4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</calcChain>
</file>

<file path=xl/sharedStrings.xml><?xml version="1.0" encoding="utf-8"?>
<sst xmlns="http://schemas.openxmlformats.org/spreadsheetml/2006/main" count="339" uniqueCount="164">
  <si>
    <t>ID</t>
  </si>
  <si>
    <t>fecha_hora</t>
  </si>
  <si>
    <t>t</t>
  </si>
  <si>
    <t>temperatura</t>
  </si>
  <si>
    <t>densidad</t>
  </si>
  <si>
    <t>Viability</t>
  </si>
  <si>
    <t>Peso Seco</t>
  </si>
  <si>
    <t>GLUCOSE</t>
  </si>
  <si>
    <t>FRUCTOSE</t>
  </si>
  <si>
    <t>PAN</t>
  </si>
  <si>
    <t>AMMONIA</t>
  </si>
  <si>
    <t>YAN</t>
  </si>
  <si>
    <t>GLYCEROL</t>
  </si>
  <si>
    <t>PYRUVIC ACID</t>
  </si>
  <si>
    <t>ACETALDEHIDO</t>
  </si>
  <si>
    <t>pulso_nut</t>
  </si>
  <si>
    <t>ETANOL</t>
  </si>
  <si>
    <t>ING25-SB003-0 (25026)</t>
  </si>
  <si>
    <t>ING25-SB003-1  (25026)</t>
  </si>
  <si>
    <t>ING25-SB003-2 (25026)</t>
  </si>
  <si>
    <t>ING25-SB003-3 (25026)</t>
  </si>
  <si>
    <t>ING25-SB003-4 (25026)</t>
  </si>
  <si>
    <t>ING25-SB003-5 (25026)</t>
  </si>
  <si>
    <t>ING25-SB003-6 (25026)</t>
  </si>
  <si>
    <t>ING25-SB003-7 (25026)</t>
  </si>
  <si>
    <t>ING25-SB003-8 (25026)</t>
  </si>
  <si>
    <t>ING25-SB003-9 (25026)</t>
  </si>
  <si>
    <t>ING25-SB003-D (25026)</t>
  </si>
  <si>
    <t>ING25-SB004-0 (25027)</t>
  </si>
  <si>
    <t>ING25-SB004-1  (25027)</t>
  </si>
  <si>
    <t>ING25-SB004-2  (25027)</t>
  </si>
  <si>
    <t>ING25-SB004-3  (25027)</t>
  </si>
  <si>
    <t>ING25-SB004-4  (25027)</t>
  </si>
  <si>
    <t>ING25-SB004-5  (25027)</t>
  </si>
  <si>
    <t>ING25-SB004-6  (25027)</t>
  </si>
  <si>
    <t>ING25-SB004-7  (25027)</t>
  </si>
  <si>
    <t>ING25-SB004-8  (25027)</t>
  </si>
  <si>
    <t>ING25-SB004-9  (25027)</t>
  </si>
  <si>
    <t>ING25-SB004-10  (25027)</t>
  </si>
  <si>
    <t>ING25-SB004-11  (25027)</t>
  </si>
  <si>
    <t>ING25-SB004-D (25027)</t>
  </si>
  <si>
    <t>ING25-SB007-1 (25085)</t>
  </si>
  <si>
    <t>ING25-SB007-3 (25085)</t>
  </si>
  <si>
    <t>ING25-SB007-4 (25085)</t>
  </si>
  <si>
    <t>ING25-SB007-5 (25085)</t>
  </si>
  <si>
    <t>ING25-SB007-7 (25085)</t>
  </si>
  <si>
    <t>ING25-SB007-8 (25085)</t>
  </si>
  <si>
    <t>ING25-SB007-9 (25085)</t>
  </si>
  <si>
    <t>ING25-SB007-10 (25085)</t>
  </si>
  <si>
    <t>ING25-SB007-11 (25085)</t>
  </si>
  <si>
    <t>ING25-SB007-12 (25085)</t>
  </si>
  <si>
    <t>ING25-SB007-13 (25085)</t>
  </si>
  <si>
    <t>ING25-SB007-14 (25085)</t>
  </si>
  <si>
    <t>ING25-SB007-15 (25085)</t>
  </si>
  <si>
    <t>ING25-SB007-16 (25085)</t>
  </si>
  <si>
    <t>ING25-SB007-17 (25085)</t>
  </si>
  <si>
    <t>ING25-SB007-18 (25085)</t>
  </si>
  <si>
    <t>ING25-SB007-D (25085)</t>
  </si>
  <si>
    <t>ING25-SB008-1 (25086)</t>
  </si>
  <si>
    <t>ING25-SB008-3 (25086)</t>
  </si>
  <si>
    <t>ING25-SB008-4 (25086)</t>
  </si>
  <si>
    <t>ING25-SB008-5 (25086)</t>
  </si>
  <si>
    <t>ING25-SB008-7 (25086)</t>
  </si>
  <si>
    <t>ING25-SB008-8 (25086)</t>
  </si>
  <si>
    <t>ING25-SB008-9 (25086)</t>
  </si>
  <si>
    <t>ING25-SB008-10 (25086)</t>
  </si>
  <si>
    <t>ING25-SB008-11 (25086)</t>
  </si>
  <si>
    <t>ING25-SB008-12 (25086)</t>
  </si>
  <si>
    <t>ING25-SB008-13 (25086)</t>
  </si>
  <si>
    <t>ING25-SB008-14 (25086)</t>
  </si>
  <si>
    <t>ING25-SB008-15 (25086)</t>
  </si>
  <si>
    <t>ING25-SB008-16 (25086)</t>
  </si>
  <si>
    <t>ING25-SB008-17 (25086)</t>
  </si>
  <si>
    <t>ING25-SB008-18 (25086)</t>
  </si>
  <si>
    <t>ING25-SB008-D (25086)</t>
  </si>
  <si>
    <t>ING25-SB009-1</t>
  </si>
  <si>
    <t>ING25-SB009-2</t>
  </si>
  <si>
    <t>ING25-SB009-3</t>
  </si>
  <si>
    <t>ING25-SB009-5</t>
  </si>
  <si>
    <t>ING25-SB009-6</t>
  </si>
  <si>
    <t>ING25-SB009-7</t>
  </si>
  <si>
    <t>ING25-SB009-8</t>
  </si>
  <si>
    <t>ING25-SB009-9</t>
  </si>
  <si>
    <t>ING25-SB009-10</t>
  </si>
  <si>
    <t>ING25-SB009-11</t>
  </si>
  <si>
    <t>ING25-SB009-12</t>
  </si>
  <si>
    <t>ING25-SB009-13</t>
  </si>
  <si>
    <t>ING25-SB009-14</t>
  </si>
  <si>
    <t>ING25-SB009-D (25150)</t>
  </si>
  <si>
    <t>ING25-SB010-1</t>
  </si>
  <si>
    <t>ING25-SB010-2</t>
  </si>
  <si>
    <t>ING25-SB010-3</t>
  </si>
  <si>
    <t>ING25-SB010-5</t>
  </si>
  <si>
    <t>ING25-SB010-6</t>
  </si>
  <si>
    <t>ING25-SB010-7</t>
  </si>
  <si>
    <t>ING25-SB010-8</t>
  </si>
  <si>
    <t>ING25-SB010-9</t>
  </si>
  <si>
    <t>ING25-SB010-10</t>
  </si>
  <si>
    <t>ING25-SB010-11</t>
  </si>
  <si>
    <t>ING25-SB010-12</t>
  </si>
  <si>
    <t>ING25-SB010-13</t>
  </si>
  <si>
    <t>ING25-SB010-14</t>
  </si>
  <si>
    <t>ING25-SB010-D (25151)</t>
  </si>
  <si>
    <t>ING25-SB011-1 (25170)</t>
  </si>
  <si>
    <t>ING25-SB011-2 (25170)</t>
  </si>
  <si>
    <t>ING25-SB011-3 (25170)</t>
  </si>
  <si>
    <t>ING25-SB011-4 (25170)</t>
  </si>
  <si>
    <t>ING25-SB011-6 (25170)</t>
  </si>
  <si>
    <t>ING25-SB011-7 (25170)</t>
  </si>
  <si>
    <t>ING25-SB011-8 (25170)</t>
  </si>
  <si>
    <t>ING25-SB011-9 (25170)</t>
  </si>
  <si>
    <t>ING25-SB011-10 (25170)</t>
  </si>
  <si>
    <t>ING25-SB011-11 (25170)</t>
  </si>
  <si>
    <t>ING25-SB011-12 (25170)</t>
  </si>
  <si>
    <t>ING25-SB011-13 (25170)</t>
  </si>
  <si>
    <t>ING25-SB011-14 (25170)</t>
  </si>
  <si>
    <t>ING25-SB011-15 (25170)</t>
  </si>
  <si>
    <t>ING25-SB011-16 (25170)</t>
  </si>
  <si>
    <t>ING25-SB011-17 (25170)</t>
  </si>
  <si>
    <t>ING25-SB011-18 (25170)</t>
  </si>
  <si>
    <t>ING25-SB011-19 (25170)</t>
  </si>
  <si>
    <t>ING25-SB011-20 (25170)</t>
  </si>
  <si>
    <t>ING25-SB011-21 (25170)</t>
  </si>
  <si>
    <t>ING25-SB011-22 (25170)</t>
  </si>
  <si>
    <t>ING25-SB011-23 (25170)</t>
  </si>
  <si>
    <t>ING25-SB011-24 (25170)</t>
  </si>
  <si>
    <t>ING25-SB011-25 (25170)</t>
  </si>
  <si>
    <t>ING25-SB011-26 (25170)</t>
  </si>
  <si>
    <t>ING25-SB011-D (25170)</t>
  </si>
  <si>
    <t>ING25-SB012-1 (25171)</t>
  </si>
  <si>
    <t>ING25-SB012-2 (25171)</t>
  </si>
  <si>
    <t>ING25-SB012-3 (25171)</t>
  </si>
  <si>
    <t>ING25-SB012-4 (25171)</t>
  </si>
  <si>
    <t>ING25-SB012-6 (25171)</t>
  </si>
  <si>
    <t>ING25-SB012-7 (25171)</t>
  </si>
  <si>
    <t>ING25-SB012-8 (25171)</t>
  </si>
  <si>
    <t>ING25-SB012-9 (25171)</t>
  </si>
  <si>
    <t>ING25-SB012-10 (25171)</t>
  </si>
  <si>
    <t>ING25-SB012-Pre reinóculo (25171)</t>
  </si>
  <si>
    <t>ING25-SB012-12 (25171)</t>
  </si>
  <si>
    <t>ING25-SB012-13 (25171)</t>
  </si>
  <si>
    <t>ING25-SB012-14 (25171)</t>
  </si>
  <si>
    <t>ING25-SB012-15 (25171)</t>
  </si>
  <si>
    <t>ING25-SB012-16 (25171)</t>
  </si>
  <si>
    <t>ING25-SB012-17 (25171)</t>
  </si>
  <si>
    <t>ING25-SB012-18 (25171)</t>
  </si>
  <si>
    <t>ING25-SB012-19 (25171)</t>
  </si>
  <si>
    <t>ING25-SB012-20 (25171)</t>
  </si>
  <si>
    <t>ING25-SB012-21 (25171)</t>
  </si>
  <si>
    <t>ING25-SB012-22 (25171)</t>
  </si>
  <si>
    <t>ING25-SB012-23 (25171)</t>
  </si>
  <si>
    <t>ING25-SB012-24 (25171)</t>
  </si>
  <si>
    <t>ING25-SB012-25 (25171)</t>
  </si>
  <si>
    <t>ING25-SB012-26 (25171)</t>
  </si>
  <si>
    <t>ING25-SB012-D (25171)</t>
  </si>
  <si>
    <t>benzaldehido_total</t>
  </si>
  <si>
    <t>decanoato_de_etilo_total</t>
  </si>
  <si>
    <t>hexil_acetate_total</t>
  </si>
  <si>
    <t>isoamil_acetate_total</t>
  </si>
  <si>
    <t>octanoate_de_etilo_total</t>
  </si>
  <si>
    <t>phenylethylacetate_total</t>
  </si>
  <si>
    <t>Ethyl_Acetate_total</t>
  </si>
  <si>
    <t>bencil_alcohol_total</t>
  </si>
  <si>
    <t>PYRUVIC ACID2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</si>
</sst>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22" fontId="0" fillId="0" borderId="0" xfId="0" applyNumberFormat="1"/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8"/>
          <c:order val="8"/>
          <c:tx>
            <c:strRef>
              <c:f>'25027'!$L$1</c:f>
              <c:strCache>
                <c:ptCount val="1"/>
                <c:pt idx="0">
                  <c:v>YAN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'25027'!$C$2:$C$32</c:f>
              <c:numCache>
                <c:formatCode>General</c:formatCode>
                <c:ptCount val="31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  <c:pt idx="24">
                  <c:v>144</c:v>
                </c:pt>
                <c:pt idx="25">
                  <c:v>150</c:v>
                </c:pt>
                <c:pt idx="26">
                  <c:v>156</c:v>
                </c:pt>
                <c:pt idx="27">
                  <c:v>162</c:v>
                </c:pt>
                <c:pt idx="28">
                  <c:v>168</c:v>
                </c:pt>
                <c:pt idx="29">
                  <c:v>174</c:v>
                </c:pt>
                <c:pt idx="30">
                  <c:v>180</c:v>
                </c:pt>
              </c:numCache>
            </c:numRef>
          </c:xVal>
          <c:yVal>
            <c:numRef>
              <c:f>'25027'!$L$2:$L$32</c:f>
              <c:numCache>
                <c:formatCode>General</c:formatCode>
                <c:ptCount val="31"/>
                <c:pt idx="0">
                  <c:v>162.5</c:v>
                </c:pt>
                <c:pt idx="2">
                  <c:v>129.91999999999999</c:v>
                </c:pt>
                <c:pt idx="6">
                  <c:v>28</c:v>
                </c:pt>
                <c:pt idx="7">
                  <c:v>66.42</c:v>
                </c:pt>
                <c:pt idx="10">
                  <c:v>20</c:v>
                </c:pt>
                <c:pt idx="14">
                  <c:v>14</c:v>
                </c:pt>
                <c:pt idx="15">
                  <c:v>15</c:v>
                </c:pt>
                <c:pt idx="18">
                  <c:v>12</c:v>
                </c:pt>
                <c:pt idx="19">
                  <c:v>12</c:v>
                </c:pt>
                <c:pt idx="22">
                  <c:v>14</c:v>
                </c:pt>
                <c:pt idx="23">
                  <c:v>12</c:v>
                </c:pt>
                <c:pt idx="26">
                  <c:v>13</c:v>
                </c:pt>
                <c:pt idx="30">
                  <c:v>19.920000000000002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C49-4773-BCCF-10655C5A7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577455"/>
        <c:axId val="107458225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'25027'!$D$1</c15:sqref>
                        </c15:formulaRef>
                      </c:ext>
                    </c:extLst>
                    <c:strCache>
                      <c:ptCount val="1"/>
                      <c:pt idx="0">
                        <c:v>temperatura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'25027'!$D$2:$D$32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17</c:v>
                      </c:pt>
                      <c:pt idx="1">
                        <c:v>19</c:v>
                      </c:pt>
                      <c:pt idx="2">
                        <c:v>18.8</c:v>
                      </c:pt>
                      <c:pt idx="3">
                        <c:v>19.2</c:v>
                      </c:pt>
                      <c:pt idx="4">
                        <c:v>19</c:v>
                      </c:pt>
                      <c:pt idx="5">
                        <c:v>18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18</c:v>
                      </c:pt>
                      <c:pt idx="9">
                        <c:v>18.600000000000001</c:v>
                      </c:pt>
                      <c:pt idx="10">
                        <c:v>18.600000000000001</c:v>
                      </c:pt>
                      <c:pt idx="11">
                        <c:v>18.399999999999999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18.399999999999999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20.5</c:v>
                      </c:pt>
                      <c:pt idx="19">
                        <c:v>19.5</c:v>
                      </c:pt>
                      <c:pt idx="20">
                        <c:v>19</c:v>
                      </c:pt>
                      <c:pt idx="21">
                        <c:v>18.5</c:v>
                      </c:pt>
                      <c:pt idx="22">
                        <c:v>18</c:v>
                      </c:pt>
                      <c:pt idx="23">
                        <c:v>19.5</c:v>
                      </c:pt>
                      <c:pt idx="24">
                        <c:v>19</c:v>
                      </c:pt>
                      <c:pt idx="25">
                        <c:v>19</c:v>
                      </c:pt>
                      <c:pt idx="26">
                        <c:v>18.2</c:v>
                      </c:pt>
                      <c:pt idx="27">
                        <c:v>20</c:v>
                      </c:pt>
                      <c:pt idx="28">
                        <c:v>18.8</c:v>
                      </c:pt>
                      <c:pt idx="29">
                        <c:v>19</c:v>
                      </c:pt>
                      <c:pt idx="30">
                        <c:v>19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C49-4773-BCCF-10655C5A75D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'25027'!$E$1</c15:sqref>
                        </c15:formulaRef>
                      </c:ext>
                    </c:extLst>
                    <c:strCache>
                      <c:ptCount val="1"/>
                      <c:pt idx="0">
                        <c:v>densidad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'25027'!$E$2:$E$32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1065</c:v>
                      </c:pt>
                      <c:pt idx="1">
                        <c:v>1065</c:v>
                      </c:pt>
                      <c:pt idx="2">
                        <c:v>1065</c:v>
                      </c:pt>
                      <c:pt idx="3">
                        <c:v>1062</c:v>
                      </c:pt>
                      <c:pt idx="4">
                        <c:v>1060</c:v>
                      </c:pt>
                      <c:pt idx="5">
                        <c:v>1058</c:v>
                      </c:pt>
                      <c:pt idx="6">
                        <c:v>1052</c:v>
                      </c:pt>
                      <c:pt idx="7">
                        <c:v>1047</c:v>
                      </c:pt>
                      <c:pt idx="8">
                        <c:v>1045</c:v>
                      </c:pt>
                      <c:pt idx="9">
                        <c:v>1040</c:v>
                      </c:pt>
                      <c:pt idx="10">
                        <c:v>1032</c:v>
                      </c:pt>
                      <c:pt idx="11">
                        <c:v>1026</c:v>
                      </c:pt>
                      <c:pt idx="12">
                        <c:v>1024</c:v>
                      </c:pt>
                      <c:pt idx="13">
                        <c:v>1020</c:v>
                      </c:pt>
                      <c:pt idx="14">
                        <c:v>1017</c:v>
                      </c:pt>
                      <c:pt idx="15">
                        <c:v>1013</c:v>
                      </c:pt>
                      <c:pt idx="16">
                        <c:v>1012</c:v>
                      </c:pt>
                      <c:pt idx="17">
                        <c:v>1008</c:v>
                      </c:pt>
                      <c:pt idx="18">
                        <c:v>1005</c:v>
                      </c:pt>
                      <c:pt idx="19">
                        <c:v>1002</c:v>
                      </c:pt>
                      <c:pt idx="20">
                        <c:v>1002</c:v>
                      </c:pt>
                      <c:pt idx="21">
                        <c:v>1001</c:v>
                      </c:pt>
                      <c:pt idx="22">
                        <c:v>999</c:v>
                      </c:pt>
                      <c:pt idx="23">
                        <c:v>997</c:v>
                      </c:pt>
                      <c:pt idx="24">
                        <c:v>997</c:v>
                      </c:pt>
                      <c:pt idx="25">
                        <c:v>997</c:v>
                      </c:pt>
                      <c:pt idx="26">
                        <c:v>995</c:v>
                      </c:pt>
                      <c:pt idx="27">
                        <c:v>995</c:v>
                      </c:pt>
                      <c:pt idx="28">
                        <c:v>992</c:v>
                      </c:pt>
                      <c:pt idx="29">
                        <c:v>998</c:v>
                      </c:pt>
                      <c:pt idx="30">
                        <c:v>993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C49-4773-BCCF-10655C5A75D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'25027'!$F$1</c15:sqref>
                        </c15:formulaRef>
                      </c:ext>
                    </c:extLst>
                    <c:strCache>
                      <c:ptCount val="1"/>
                      <c:pt idx="0">
                        <c:v>Viability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'25027'!$F$2:$F$32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2.76</c:v>
                      </c:pt>
                      <c:pt idx="2">
                        <c:v>19.97</c:v>
                      </c:pt>
                      <c:pt idx="6">
                        <c:v>32.57</c:v>
                      </c:pt>
                      <c:pt idx="7">
                        <c:v>42.78</c:v>
                      </c:pt>
                      <c:pt idx="10">
                        <c:v>50.77</c:v>
                      </c:pt>
                      <c:pt idx="14">
                        <c:v>59.29</c:v>
                      </c:pt>
                      <c:pt idx="15">
                        <c:v>62.6</c:v>
                      </c:pt>
                      <c:pt idx="18">
                        <c:v>58.83</c:v>
                      </c:pt>
                      <c:pt idx="19">
                        <c:v>62.37</c:v>
                      </c:pt>
                      <c:pt idx="22">
                        <c:v>87.48</c:v>
                      </c:pt>
                      <c:pt idx="23">
                        <c:v>48.69</c:v>
                      </c:pt>
                      <c:pt idx="26">
                        <c:v>46.62</c:v>
                      </c:pt>
                      <c:pt idx="30">
                        <c:v>58.37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C49-4773-BCCF-10655C5A75D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'25027'!$G$1</c15:sqref>
                        </c15:formulaRef>
                      </c:ext>
                    </c:extLst>
                    <c:strCache>
                      <c:ptCount val="1"/>
                      <c:pt idx="0">
                        <c:v>Peso Seco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'25027'!$G$2:$G$32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0.1968</c:v>
                      </c:pt>
                      <c:pt idx="2">
                        <c:v>0.1149</c:v>
                      </c:pt>
                      <c:pt idx="6">
                        <c:v>0.1172</c:v>
                      </c:pt>
                      <c:pt idx="7">
                        <c:v>0.1729</c:v>
                      </c:pt>
                      <c:pt idx="10">
                        <c:v>0.1653</c:v>
                      </c:pt>
                      <c:pt idx="14">
                        <c:v>0.23749999999999999</c:v>
                      </c:pt>
                      <c:pt idx="15">
                        <c:v>0.34799999999999998</c:v>
                      </c:pt>
                      <c:pt idx="18">
                        <c:v>-1.4500000000000001E-2</c:v>
                      </c:pt>
                      <c:pt idx="19">
                        <c:v>0.2233</c:v>
                      </c:pt>
                      <c:pt idx="22">
                        <c:v>0.2346</c:v>
                      </c:pt>
                      <c:pt idx="23">
                        <c:v>0.21690000000000001</c:v>
                      </c:pt>
                      <c:pt idx="30">
                        <c:v>0.21329999999999999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C49-4773-BCCF-10655C5A75D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'25027'!$H$1</c15:sqref>
                        </c15:formulaRef>
                      </c:ext>
                    </c:extLst>
                    <c:strCache>
                      <c:ptCount val="1"/>
                      <c:pt idx="0">
                        <c:v>GLUCOSE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'25027'!$H$2:$H$32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77.81</c:v>
                      </c:pt>
                      <c:pt idx="2">
                        <c:v>76.2</c:v>
                      </c:pt>
                      <c:pt idx="6">
                        <c:v>65.11</c:v>
                      </c:pt>
                      <c:pt idx="7">
                        <c:v>47.91</c:v>
                      </c:pt>
                      <c:pt idx="10">
                        <c:v>39.58</c:v>
                      </c:pt>
                      <c:pt idx="14">
                        <c:v>23.39</c:v>
                      </c:pt>
                      <c:pt idx="15">
                        <c:v>7.12</c:v>
                      </c:pt>
                      <c:pt idx="18">
                        <c:v>2.04</c:v>
                      </c:pt>
                      <c:pt idx="19">
                        <c:v>1.45</c:v>
                      </c:pt>
                      <c:pt idx="22">
                        <c:v>0.44</c:v>
                      </c:pt>
                      <c:pt idx="23">
                        <c:v>0.08</c:v>
                      </c:pt>
                      <c:pt idx="26">
                        <c:v>7.0000000000000007E-2</c:v>
                      </c:pt>
                      <c:pt idx="30">
                        <c:v>0.02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C49-4773-BCCF-10655C5A75D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'25027'!$I$1</c15:sqref>
                        </c15:formulaRef>
                      </c:ext>
                    </c:extLst>
                    <c:strCache>
                      <c:ptCount val="1"/>
                      <c:pt idx="0">
                        <c:v>FRUCTOSE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'25027'!$I$2:$I$32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77.540000000000006</c:v>
                      </c:pt>
                      <c:pt idx="2">
                        <c:v>69.849999999999994</c:v>
                      </c:pt>
                      <c:pt idx="6">
                        <c:v>54.65</c:v>
                      </c:pt>
                      <c:pt idx="7">
                        <c:v>48.59</c:v>
                      </c:pt>
                      <c:pt idx="10">
                        <c:v>36.299999999999997</c:v>
                      </c:pt>
                      <c:pt idx="14">
                        <c:v>23.8</c:v>
                      </c:pt>
                      <c:pt idx="15">
                        <c:v>32.520000000000003</c:v>
                      </c:pt>
                      <c:pt idx="18">
                        <c:v>18.55</c:v>
                      </c:pt>
                      <c:pt idx="19">
                        <c:v>17.46</c:v>
                      </c:pt>
                      <c:pt idx="22">
                        <c:v>0</c:v>
                      </c:pt>
                      <c:pt idx="23">
                        <c:v>8.84</c:v>
                      </c:pt>
                      <c:pt idx="26">
                        <c:v>5.23</c:v>
                      </c:pt>
                      <c:pt idx="30">
                        <c:v>1.47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C49-4773-BCCF-10655C5A75DC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'25027'!$J$1</c15:sqref>
                        </c15:formulaRef>
                      </c:ext>
                    </c:extLst>
                    <c:strCache>
                      <c:ptCount val="1"/>
                      <c:pt idx="0">
                        <c:v>PAN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'25027'!$J$2:$J$32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101</c:v>
                      </c:pt>
                      <c:pt idx="2">
                        <c:v>84</c:v>
                      </c:pt>
                      <c:pt idx="6">
                        <c:v>28</c:v>
                      </c:pt>
                      <c:pt idx="7">
                        <c:v>41</c:v>
                      </c:pt>
                      <c:pt idx="10">
                        <c:v>20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8">
                        <c:v>12</c:v>
                      </c:pt>
                      <c:pt idx="19">
                        <c:v>12</c:v>
                      </c:pt>
                      <c:pt idx="22">
                        <c:v>14</c:v>
                      </c:pt>
                      <c:pt idx="23">
                        <c:v>12</c:v>
                      </c:pt>
                      <c:pt idx="26">
                        <c:v>13</c:v>
                      </c:pt>
                      <c:pt idx="30">
                        <c:v>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C49-4773-BCCF-10655C5A75DC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'25027'!$K$1</c15:sqref>
                        </c15:formulaRef>
                      </c:ext>
                    </c:extLst>
                    <c:strCache>
                      <c:ptCount val="1"/>
                      <c:pt idx="0">
                        <c:v>AMMONIA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'25027'!$K$2:$K$32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75</c:v>
                      </c:pt>
                      <c:pt idx="2">
                        <c:v>56</c:v>
                      </c:pt>
                      <c:pt idx="6">
                        <c:v>0</c:v>
                      </c:pt>
                      <c:pt idx="7">
                        <c:v>31</c:v>
                      </c:pt>
                      <c:pt idx="10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6">
                        <c:v>0</c:v>
                      </c:pt>
                      <c:pt idx="30">
                        <c:v>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C49-4773-BCCF-10655C5A75DC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'25027'!$M$1</c15:sqref>
                        </c15:formulaRef>
                      </c:ext>
                    </c:extLst>
                    <c:strCache>
                      <c:ptCount val="1"/>
                      <c:pt idx="0">
                        <c:v>GLYCEROL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'25027'!$M$2:$M$32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2.13</c:v>
                      </c:pt>
                      <c:pt idx="2">
                        <c:v>2.42</c:v>
                      </c:pt>
                      <c:pt idx="6">
                        <c:v>3.63</c:v>
                      </c:pt>
                      <c:pt idx="7">
                        <c:v>3.76</c:v>
                      </c:pt>
                      <c:pt idx="10">
                        <c:v>4.78</c:v>
                      </c:pt>
                      <c:pt idx="14">
                        <c:v>5.27</c:v>
                      </c:pt>
                      <c:pt idx="15">
                        <c:v>5.34</c:v>
                      </c:pt>
                      <c:pt idx="18">
                        <c:v>5.45</c:v>
                      </c:pt>
                      <c:pt idx="19">
                        <c:v>5.57</c:v>
                      </c:pt>
                      <c:pt idx="22">
                        <c:v>5.82</c:v>
                      </c:pt>
                      <c:pt idx="23">
                        <c:v>5.73</c:v>
                      </c:pt>
                      <c:pt idx="26">
                        <c:v>5.68</c:v>
                      </c:pt>
                      <c:pt idx="30">
                        <c:v>5.63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C49-4773-BCCF-10655C5A75DC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'25027'!$N$1</c15:sqref>
                        </c15:formulaRef>
                      </c:ext>
                    </c:extLst>
                    <c:strCache>
                      <c:ptCount val="1"/>
                      <c:pt idx="0">
                        <c:v>PYRUVIC ACID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'25027'!$N$2:$N$32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24</c:v>
                      </c:pt>
                      <c:pt idx="2">
                        <c:v>40</c:v>
                      </c:pt>
                      <c:pt idx="6">
                        <c:v>56</c:v>
                      </c:pt>
                      <c:pt idx="7">
                        <c:v>60</c:v>
                      </c:pt>
                      <c:pt idx="10">
                        <c:v>50</c:v>
                      </c:pt>
                      <c:pt idx="14">
                        <c:v>36</c:v>
                      </c:pt>
                      <c:pt idx="15">
                        <c:v>42</c:v>
                      </c:pt>
                      <c:pt idx="18">
                        <c:v>31</c:v>
                      </c:pt>
                      <c:pt idx="19">
                        <c:v>37</c:v>
                      </c:pt>
                      <c:pt idx="22">
                        <c:v>27</c:v>
                      </c:pt>
                      <c:pt idx="23">
                        <c:v>28</c:v>
                      </c:pt>
                      <c:pt idx="26">
                        <c:v>24</c:v>
                      </c:pt>
                      <c:pt idx="30">
                        <c:v>29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C49-4773-BCCF-10655C5A75DC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'25027'!$P$1</c15:sqref>
                        </c15:formulaRef>
                      </c:ext>
                    </c:extLst>
                    <c:strCache>
                      <c:ptCount val="1"/>
                      <c:pt idx="0">
                        <c:v>ACETALDEHIDO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'25027'!$P$2:$P$32</c15:sqref>
                        </c15:formulaRef>
                      </c:ext>
                    </c:extLst>
                    <c:numCache>
                      <c:formatCode>General</c:formatCode>
                      <c:ptCount val="3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C49-4773-BCCF-10655C5A75DC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'25027'!$Q$1</c15:sqref>
                        </c15:formulaRef>
                      </c:ext>
                    </c:extLst>
                    <c:strCache>
                      <c:ptCount val="1"/>
                      <c:pt idx="0">
                        <c:v>ETANOL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'25027'!$Q$2:$Q$32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6.1542000000000003</c:v>
                      </c:pt>
                      <c:pt idx="2">
                        <c:v>5.4257134148516144</c:v>
                      </c:pt>
                      <c:pt idx="6">
                        <c:v>21.747029124645262</c:v>
                      </c:pt>
                      <c:pt idx="7">
                        <c:v>27.102674268067204</c:v>
                      </c:pt>
                      <c:pt idx="10">
                        <c:v>50.082331171270141</c:v>
                      </c:pt>
                      <c:pt idx="14">
                        <c:v>68.487816031223957</c:v>
                      </c:pt>
                      <c:pt idx="15">
                        <c:v>74.457791342249678</c:v>
                      </c:pt>
                      <c:pt idx="18">
                        <c:v>84.108329761565344</c:v>
                      </c:pt>
                      <c:pt idx="19">
                        <c:v>86.675456925882287</c:v>
                      </c:pt>
                      <c:pt idx="22">
                        <c:v>91.018540771202652</c:v>
                      </c:pt>
                      <c:pt idx="23">
                        <c:v>93.745465937729364</c:v>
                      </c:pt>
                      <c:pt idx="26">
                        <c:v>95.249393113192269</c:v>
                      </c:pt>
                      <c:pt idx="30">
                        <c:v>96.573599999999999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C49-4773-BCCF-10655C5A75DC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'25027'!$R$1</c15:sqref>
                        </c15:formulaRef>
                      </c:ext>
                    </c:extLst>
                    <c:strCache>
                      <c:ptCount val="1"/>
                      <c:pt idx="0">
                        <c:v>pulso_nut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'25027'!$R$2:$R$32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87</c:v>
                      </c:pt>
                      <c:pt idx="7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C49-4773-BCCF-10655C5A75DC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'25027'!$S$1</c15:sqref>
                        </c15:formulaRef>
                      </c:ext>
                    </c:extLst>
                    <c:strCache>
                      <c:ptCount val="1"/>
                      <c:pt idx="0">
                        <c:v>bencil_alcohol_total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'25027'!$S$2:$S$32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3.3449949062499998E-2</c:v>
                      </c:pt>
                      <c:pt idx="6">
                        <c:v>3.4592632245833338E-2</c:v>
                      </c:pt>
                      <c:pt idx="14">
                        <c:v>3.2879410387500002E-2</c:v>
                      </c:pt>
                      <c:pt idx="19">
                        <c:v>3.588404345416666E-2</c:v>
                      </c:pt>
                      <c:pt idx="30">
                        <c:v>4.1832176666666672E-2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C49-4773-BCCF-10655C5A75DC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'25027'!$T$1</c15:sqref>
                        </c15:formulaRef>
                      </c:ext>
                    </c:extLst>
                    <c:strCache>
                      <c:ptCount val="1"/>
                      <c:pt idx="0">
                        <c:v>benzaldehido_total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'25027'!$T$2:$T$32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3.2859872941666665E-3</c:v>
                      </c:pt>
                      <c:pt idx="6">
                        <c:v>3.6056000704166669E-3</c:v>
                      </c:pt>
                      <c:pt idx="14">
                        <c:v>3.3165367500000002E-3</c:v>
                      </c:pt>
                      <c:pt idx="19">
                        <c:v>4.209357491666667E-3</c:v>
                      </c:pt>
                      <c:pt idx="30">
                        <c:v>4.6679500083333337E-3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C49-4773-BCCF-10655C5A75DC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'25027'!$U$1</c15:sqref>
                        </c15:formulaRef>
                      </c:ext>
                    </c:extLst>
                    <c:strCache>
                      <c:ptCount val="1"/>
                      <c:pt idx="0">
                        <c:v>decanoato_de_etilo_total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'25027'!$U$2:$U$32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8.601210633333333E-4</c:v>
                      </c:pt>
                      <c:pt idx="6">
                        <c:v>9.8189486958333346E-3</c:v>
                      </c:pt>
                      <c:pt idx="14">
                        <c:v>8.0819742583333343E-3</c:v>
                      </c:pt>
                      <c:pt idx="19">
                        <c:v>7.2248650499999994E-3</c:v>
                      </c:pt>
                      <c:pt idx="30">
                        <c:v>1.6853321383333335E-2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C49-4773-BCCF-10655C5A75DC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'25027'!$V$1</c15:sqref>
                        </c15:formulaRef>
                      </c:ext>
                    </c:extLst>
                    <c:strCache>
                      <c:ptCount val="1"/>
                      <c:pt idx="0">
                        <c:v>hexil_acetate_total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'25027'!$V$2:$V$32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4.9527308666666671E-3</c:v>
                      </c:pt>
                      <c:pt idx="6">
                        <c:v>0.20501537949999998</c:v>
                      </c:pt>
                      <c:pt idx="14">
                        <c:v>0.334094109375</c:v>
                      </c:pt>
                      <c:pt idx="19">
                        <c:v>0.32725227266666668</c:v>
                      </c:pt>
                      <c:pt idx="30">
                        <c:v>0.37275502074999994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C49-4773-BCCF-10655C5A75DC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'25027'!$W$1</c15:sqref>
                        </c15:formulaRef>
                      </c:ext>
                    </c:extLst>
                    <c:strCache>
                      <c:ptCount val="1"/>
                      <c:pt idx="0">
                        <c:v>isoamil_acetate_total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'25027'!$W$2:$W$32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0.16781751764209243</c:v>
                      </c:pt>
                      <c:pt idx="6">
                        <c:v>2.3102895287628704</c:v>
                      </c:pt>
                      <c:pt idx="14">
                        <c:v>9.1334655628006072</c:v>
                      </c:pt>
                      <c:pt idx="19">
                        <c:v>8.6038245541269252</c:v>
                      </c:pt>
                      <c:pt idx="30">
                        <c:v>9.6191229378456757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C49-4773-BCCF-10655C5A75DC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'25027'!$X$1</c15:sqref>
                        </c15:formulaRef>
                      </c:ext>
                    </c:extLst>
                    <c:strCache>
                      <c:ptCount val="1"/>
                      <c:pt idx="0">
                        <c:v>octanoate_de_etilo_total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'25027'!$X$2:$X$32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1.2845678733333334E-2</c:v>
                      </c:pt>
                      <c:pt idx="6">
                        <c:v>5.3848087291666673E-2</c:v>
                      </c:pt>
                      <c:pt idx="14">
                        <c:v>6.8433101374999986E-2</c:v>
                      </c:pt>
                      <c:pt idx="19">
                        <c:v>7.0845824666666682E-2</c:v>
                      </c:pt>
                      <c:pt idx="30">
                        <c:v>9.5492115374999992E-2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EC49-4773-BCCF-10655C5A75DC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'25027'!$Y$1</c15:sqref>
                        </c15:formulaRef>
                      </c:ext>
                    </c:extLst>
                    <c:strCache>
                      <c:ptCount val="1"/>
                      <c:pt idx="0">
                        <c:v>phenylethylacetate_total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'25027'!$Y$2:$Y$32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9.8100357333333332E-3</c:v>
                      </c:pt>
                      <c:pt idx="6">
                        <c:v>6.6530640208333339E-2</c:v>
                      </c:pt>
                      <c:pt idx="14">
                        <c:v>0.14949112408333332</c:v>
                      </c:pt>
                      <c:pt idx="19">
                        <c:v>0.17609611887499999</c:v>
                      </c:pt>
                      <c:pt idx="30">
                        <c:v>0.153142216375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EC49-4773-BCCF-10655C5A75DC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'25027'!$Z$1</c15:sqref>
                        </c15:formulaRef>
                      </c:ext>
                    </c:extLst>
                    <c:strCache>
                      <c:ptCount val="1"/>
                      <c:pt idx="0">
                        <c:v>Ethyl_Acetate_total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'25027'!$Z$2:$Z$32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1.793548000910494</c:v>
                      </c:pt>
                      <c:pt idx="6">
                        <c:v>5.336846749184641</c:v>
                      </c:pt>
                      <c:pt idx="14">
                        <c:v>9.3076685078905435</c:v>
                      </c:pt>
                      <c:pt idx="19">
                        <c:v>8.312545231235605</c:v>
                      </c:pt>
                      <c:pt idx="30">
                        <c:v>11.189577524203072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EC49-4773-BCCF-10655C5A75DC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11"/>
          <c:order val="11"/>
          <c:tx>
            <c:strRef>
              <c:f>'25027'!$O$1</c:f>
              <c:strCache>
                <c:ptCount val="1"/>
                <c:pt idx="0">
                  <c:v>PYRUVIC ACID2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'25027'!$C$2:$C$32</c:f>
              <c:numCache>
                <c:formatCode>General</c:formatCode>
                <c:ptCount val="31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  <c:pt idx="24">
                  <c:v>144</c:v>
                </c:pt>
                <c:pt idx="25">
                  <c:v>150</c:v>
                </c:pt>
                <c:pt idx="26">
                  <c:v>156</c:v>
                </c:pt>
                <c:pt idx="27">
                  <c:v>162</c:v>
                </c:pt>
                <c:pt idx="28">
                  <c:v>168</c:v>
                </c:pt>
                <c:pt idx="29">
                  <c:v>174</c:v>
                </c:pt>
                <c:pt idx="30">
                  <c:v>180</c:v>
                </c:pt>
              </c:numCache>
            </c:numRef>
          </c:xVal>
          <c:yVal>
            <c:numRef>
              <c:f>'25027'!$O$2:$O$32</c:f>
              <c:numCache>
                <c:formatCode>General</c:formatCode>
                <c:ptCount val="31"/>
                <c:pt idx="0">
                  <c:v>0</c:v>
                </c:pt>
                <c:pt idx="2">
                  <c:v>16</c:v>
                </c:pt>
                <c:pt idx="6">
                  <c:v>32</c:v>
                </c:pt>
                <c:pt idx="7">
                  <c:v>36</c:v>
                </c:pt>
                <c:pt idx="10">
                  <c:v>26</c:v>
                </c:pt>
                <c:pt idx="14">
                  <c:v>12</c:v>
                </c:pt>
                <c:pt idx="15">
                  <c:v>18</c:v>
                </c:pt>
                <c:pt idx="18">
                  <c:v>7</c:v>
                </c:pt>
                <c:pt idx="19">
                  <c:v>13</c:v>
                </c:pt>
                <c:pt idx="22">
                  <c:v>3</c:v>
                </c:pt>
                <c:pt idx="23">
                  <c:v>4</c:v>
                </c:pt>
                <c:pt idx="26">
                  <c:v>0</c:v>
                </c:pt>
                <c:pt idx="3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C49-4773-BCCF-10655C5A7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558623"/>
        <c:axId val="799549503"/>
      </c:scatterChart>
      <c:valAx>
        <c:axId val="107457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4582255"/>
        <c:crosses val="autoZero"/>
        <c:crossBetween val="midCat"/>
      </c:valAx>
      <c:valAx>
        <c:axId val="107458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4577455"/>
        <c:crosses val="autoZero"/>
        <c:crossBetween val="midCat"/>
      </c:valAx>
      <c:valAx>
        <c:axId val="7995495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99558623"/>
        <c:crosses val="max"/>
        <c:crossBetween val="midCat"/>
      </c:valAx>
      <c:valAx>
        <c:axId val="7995586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954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257686</xdr:colOff>
      <xdr:row>35</xdr:row>
      <xdr:rowOff>46093</xdr:rowOff>
    </xdr:from>
    <xdr:to>
      <xdr:col>20</xdr:col>
      <xdr:colOff>543436</xdr:colOff>
      <xdr:row>49</xdr:row>
      <xdr:rowOff>122293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A8658B-9AA7-4502-4958-4699D01BB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5"/>
  <sheetViews>
    <sheetView topLeftCell="E1" zoomScale="85" zoomScaleNormal="85" workbookViewId="0">
      <selection activeCell="Q3" sqref="Q3"/>
    </sheetView>
  </sheetViews>
  <sheetFormatPr baseColWidth="10" defaultColWidth="9.140625" defaultRowHeight="15" x14ac:dyDescent="0.25"/>
  <cols>
    <col min="1" max="1" width="24.42578125" style="1" customWidth="1"/>
    <col min="2" max="2" width="16.7109375" style="1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2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</row>
    <row r="2" spans="1:25" x14ac:dyDescent="0.25">
      <c r="A2" t="s">
        <v>17</v>
      </c>
      <c r="B2" s="2">
        <v>45729.875</v>
      </c>
      <c r="C2" s="1">
        <v>0</v>
      </c>
      <c r="D2" s="1">
        <v>18.5</v>
      </c>
      <c r="E2" s="1">
        <v>1066</v>
      </c>
      <c r="F2">
        <v>15.9</v>
      </c>
      <c r="G2">
        <v>0.1464</v>
      </c>
      <c r="H2">
        <v>74.989999999999995</v>
      </c>
      <c r="I2">
        <v>72.959999999999994</v>
      </c>
      <c r="J2">
        <v>93</v>
      </c>
      <c r="K2">
        <v>75</v>
      </c>
      <c r="L2">
        <v>154.5</v>
      </c>
      <c r="M2">
        <v>2.35</v>
      </c>
      <c r="N2">
        <v>31</v>
      </c>
      <c r="O2"/>
      <c r="P2" s="3">
        <v>6.1542000000000003</v>
      </c>
      <c r="Q2">
        <v>87</v>
      </c>
      <c r="R2">
        <v>4.191216091666667E-2</v>
      </c>
      <c r="S2">
        <v>3.77283783E-3</v>
      </c>
      <c r="T2">
        <v>1.6516516474999999E-3</v>
      </c>
      <c r="U2">
        <v>4.2378348500000003E-3</v>
      </c>
      <c r="V2">
        <v>0.16440079645416542</v>
      </c>
      <c r="W2">
        <v>1.8882016741666667E-2</v>
      </c>
      <c r="X2">
        <v>6.3562285291666664E-3</v>
      </c>
      <c r="Y2">
        <v>1.7745773042936781</v>
      </c>
    </row>
    <row r="3" spans="1:25" x14ac:dyDescent="0.25">
      <c r="A3"/>
      <c r="B3" s="2">
        <v>45730.125</v>
      </c>
      <c r="C3" s="1">
        <f t="shared" ref="C3:C25" si="0">(B3-B2)*24+C2</f>
        <v>6</v>
      </c>
      <c r="D3" s="1">
        <v>20</v>
      </c>
      <c r="E3" s="1">
        <v>1065</v>
      </c>
      <c r="F3"/>
      <c r="G3"/>
      <c r="H3"/>
      <c r="I3"/>
      <c r="J3"/>
      <c r="K3"/>
      <c r="L3"/>
      <c r="M3"/>
      <c r="N3"/>
      <c r="O3"/>
      <c r="P3" s="3"/>
      <c r="Q3"/>
      <c r="R3"/>
      <c r="S3"/>
      <c r="T3"/>
      <c r="U3"/>
      <c r="V3"/>
      <c r="W3"/>
      <c r="X3"/>
      <c r="Y3"/>
    </row>
    <row r="4" spans="1:25" x14ac:dyDescent="0.25">
      <c r="A4" t="s">
        <v>18</v>
      </c>
      <c r="B4" s="2">
        <v>45730.375</v>
      </c>
      <c r="C4" s="1">
        <f t="shared" si="0"/>
        <v>12</v>
      </c>
      <c r="D4" s="1">
        <v>21</v>
      </c>
      <c r="E4" s="1">
        <v>1062</v>
      </c>
      <c r="F4">
        <v>25.35</v>
      </c>
      <c r="G4">
        <v>5.1400000000000001E-2</v>
      </c>
      <c r="H4">
        <v>73.349999999999994</v>
      </c>
      <c r="I4">
        <v>68.62</v>
      </c>
      <c r="J4">
        <v>34</v>
      </c>
      <c r="K4">
        <v>40</v>
      </c>
      <c r="L4">
        <v>66.8</v>
      </c>
      <c r="M4">
        <v>2.59</v>
      </c>
      <c r="N4">
        <v>45</v>
      </c>
      <c r="O4"/>
      <c r="P4" s="3">
        <v>7.0051657796467106</v>
      </c>
      <c r="Q4"/>
      <c r="R4"/>
      <c r="S4"/>
      <c r="T4"/>
      <c r="U4"/>
      <c r="V4"/>
      <c r="W4"/>
      <c r="X4"/>
      <c r="Y4"/>
    </row>
    <row r="5" spans="1:25" x14ac:dyDescent="0.25">
      <c r="A5"/>
      <c r="B5" s="2">
        <v>45730.625</v>
      </c>
      <c r="C5" s="1">
        <f t="shared" si="0"/>
        <v>18</v>
      </c>
      <c r="D5" s="1">
        <v>22</v>
      </c>
      <c r="E5" s="1">
        <v>1058</v>
      </c>
      <c r="F5"/>
      <c r="G5"/>
      <c r="H5"/>
      <c r="I5"/>
      <c r="J5"/>
      <c r="K5"/>
      <c r="L5"/>
      <c r="M5"/>
      <c r="N5"/>
      <c r="O5"/>
      <c r="P5" s="3"/>
      <c r="Q5"/>
      <c r="R5"/>
      <c r="S5"/>
      <c r="T5"/>
      <c r="U5"/>
      <c r="V5"/>
      <c r="W5"/>
      <c r="X5"/>
      <c r="Y5"/>
    </row>
    <row r="6" spans="1:25" x14ac:dyDescent="0.25">
      <c r="A6"/>
      <c r="B6" s="2">
        <v>45730.875</v>
      </c>
      <c r="C6" s="1">
        <f t="shared" si="0"/>
        <v>24</v>
      </c>
      <c r="D6" s="1">
        <v>21</v>
      </c>
      <c r="E6" s="1">
        <v>1056</v>
      </c>
      <c r="F6"/>
      <c r="G6"/>
      <c r="H6"/>
      <c r="I6"/>
      <c r="J6"/>
      <c r="K6"/>
      <c r="L6"/>
      <c r="M6"/>
      <c r="N6"/>
      <c r="O6"/>
      <c r="P6" s="3"/>
      <c r="Q6"/>
      <c r="R6"/>
      <c r="S6"/>
      <c r="T6"/>
      <c r="U6"/>
      <c r="V6"/>
      <c r="W6"/>
      <c r="X6"/>
      <c r="Y6"/>
    </row>
    <row r="7" spans="1:25" x14ac:dyDescent="0.25">
      <c r="A7"/>
      <c r="B7" s="2">
        <v>45731.125</v>
      </c>
      <c r="C7" s="1">
        <f t="shared" si="0"/>
        <v>30</v>
      </c>
      <c r="D7" s="1">
        <v>20</v>
      </c>
      <c r="E7" s="1">
        <v>1050</v>
      </c>
      <c r="F7"/>
      <c r="G7"/>
      <c r="H7"/>
      <c r="I7"/>
      <c r="J7"/>
      <c r="K7"/>
      <c r="L7"/>
      <c r="M7"/>
      <c r="N7"/>
      <c r="O7"/>
      <c r="P7" s="3"/>
      <c r="Q7"/>
      <c r="R7"/>
      <c r="S7"/>
      <c r="T7"/>
      <c r="U7"/>
      <c r="V7"/>
      <c r="W7"/>
      <c r="X7"/>
      <c r="Y7"/>
    </row>
    <row r="8" spans="1:25" x14ac:dyDescent="0.25">
      <c r="A8" t="s">
        <v>19</v>
      </c>
      <c r="B8" s="2">
        <v>45731.375</v>
      </c>
      <c r="C8" s="1">
        <f t="shared" si="0"/>
        <v>36</v>
      </c>
      <c r="D8" s="1">
        <v>20</v>
      </c>
      <c r="E8" s="1">
        <v>1042</v>
      </c>
      <c r="F8">
        <v>41.01</v>
      </c>
      <c r="G8">
        <v>0.17829999999999999</v>
      </c>
      <c r="H8">
        <v>39.130000000000003</v>
      </c>
      <c r="I8">
        <v>62.13</v>
      </c>
      <c r="J8">
        <v>12</v>
      </c>
      <c r="K8">
        <v>2</v>
      </c>
      <c r="L8">
        <v>13.64</v>
      </c>
      <c r="M8">
        <v>4.25</v>
      </c>
      <c r="N8">
        <v>57</v>
      </c>
      <c r="O8"/>
      <c r="P8" s="3">
        <v>34.519945808450672</v>
      </c>
      <c r="Q8"/>
      <c r="R8">
        <v>3.6186230204166669E-2</v>
      </c>
      <c r="S8">
        <v>3.7272832091666667E-3</v>
      </c>
      <c r="T8">
        <v>2.08948103375E-2</v>
      </c>
      <c r="U8">
        <v>0.30879171295833335</v>
      </c>
      <c r="V8">
        <v>4.3308829963106001</v>
      </c>
      <c r="W8">
        <v>9.5479818083333348E-2</v>
      </c>
      <c r="X8">
        <v>0.16382296620833334</v>
      </c>
      <c r="Y8">
        <v>7.7832091185601806</v>
      </c>
    </row>
    <row r="9" spans="1:25" x14ac:dyDescent="0.25">
      <c r="A9" t="s">
        <v>20</v>
      </c>
      <c r="B9" s="2">
        <v>45731.625</v>
      </c>
      <c r="C9" s="1">
        <f t="shared" si="0"/>
        <v>42</v>
      </c>
      <c r="D9" s="1">
        <v>21</v>
      </c>
      <c r="E9" s="1">
        <v>1036</v>
      </c>
      <c r="F9">
        <v>56.3</v>
      </c>
      <c r="G9">
        <v>0.11700000000000001</v>
      </c>
      <c r="H9">
        <v>33.729999999999997</v>
      </c>
      <c r="I9">
        <v>58.29</v>
      </c>
      <c r="J9">
        <v>23</v>
      </c>
      <c r="K9">
        <v>41</v>
      </c>
      <c r="L9">
        <v>56.62</v>
      </c>
      <c r="M9">
        <v>4.68</v>
      </c>
      <c r="N9">
        <v>61</v>
      </c>
      <c r="O9"/>
      <c r="P9" s="3">
        <v>39.970469564348477</v>
      </c>
      <c r="Q9" s="1">
        <v>100</v>
      </c>
      <c r="R9"/>
      <c r="S9"/>
      <c r="T9"/>
      <c r="U9"/>
      <c r="V9"/>
      <c r="W9"/>
      <c r="X9"/>
      <c r="Y9"/>
    </row>
    <row r="10" spans="1:25" x14ac:dyDescent="0.25">
      <c r="A10"/>
      <c r="B10" s="2">
        <v>45731.875</v>
      </c>
      <c r="C10" s="1">
        <f t="shared" si="0"/>
        <v>48</v>
      </c>
      <c r="D10" s="1">
        <v>21</v>
      </c>
      <c r="E10" s="1">
        <v>1034</v>
      </c>
      <c r="F10"/>
      <c r="G10"/>
      <c r="H10"/>
      <c r="I10"/>
      <c r="J10"/>
      <c r="K10"/>
      <c r="L10"/>
      <c r="M10"/>
      <c r="N10"/>
      <c r="O10"/>
      <c r="P10" s="3"/>
      <c r="Q10"/>
      <c r="R10"/>
      <c r="S10"/>
      <c r="T10"/>
      <c r="U10"/>
      <c r="V10"/>
      <c r="W10"/>
      <c r="X10"/>
      <c r="Y10"/>
    </row>
    <row r="11" spans="1:25" x14ac:dyDescent="0.25">
      <c r="A11"/>
      <c r="B11" s="2">
        <v>45732.125</v>
      </c>
      <c r="C11" s="1">
        <f t="shared" si="0"/>
        <v>54</v>
      </c>
      <c r="D11" s="1">
        <v>21.4</v>
      </c>
      <c r="E11" s="1">
        <v>1027</v>
      </c>
      <c r="F11"/>
      <c r="G11"/>
      <c r="H11"/>
      <c r="I11"/>
      <c r="J11"/>
      <c r="K11"/>
      <c r="L11"/>
      <c r="M11"/>
      <c r="N11"/>
      <c r="O11"/>
      <c r="P11" s="3"/>
      <c r="Q11"/>
      <c r="R11"/>
      <c r="S11"/>
      <c r="T11"/>
      <c r="U11"/>
      <c r="V11"/>
      <c r="W11"/>
      <c r="X11"/>
      <c r="Y11"/>
    </row>
    <row r="12" spans="1:25" x14ac:dyDescent="0.25">
      <c r="A12" t="s">
        <v>21</v>
      </c>
      <c r="B12" s="2">
        <v>45732.375</v>
      </c>
      <c r="C12" s="1">
        <f t="shared" si="0"/>
        <v>60</v>
      </c>
      <c r="D12" s="1">
        <v>19.8</v>
      </c>
      <c r="E12" s="1">
        <v>1020</v>
      </c>
      <c r="F12">
        <v>24.88</v>
      </c>
      <c r="G12">
        <v>0.20730000000000001</v>
      </c>
      <c r="H12">
        <v>23.5</v>
      </c>
      <c r="I12">
        <v>26.72</v>
      </c>
      <c r="J12">
        <v>13</v>
      </c>
      <c r="K12">
        <v>0</v>
      </c>
      <c r="L12">
        <v>13</v>
      </c>
      <c r="M12">
        <v>5.67</v>
      </c>
      <c r="N12">
        <v>43</v>
      </c>
      <c r="O12"/>
      <c r="P12" s="3">
        <v>65.333102891511174</v>
      </c>
      <c r="Q12"/>
      <c r="R12">
        <v>4.6465753958333335E-2</v>
      </c>
      <c r="S12">
        <v>4.6480188041666667E-3</v>
      </c>
      <c r="T12">
        <v>2.9606410049999997E-2</v>
      </c>
      <c r="U12">
        <v>0.55700674333333344</v>
      </c>
      <c r="V12">
        <v>8.8810809869174641</v>
      </c>
      <c r="W12">
        <v>0.14466319991666668</v>
      </c>
      <c r="X12">
        <v>0.20496496541666664</v>
      </c>
      <c r="Y12">
        <v>13.92721387178408</v>
      </c>
    </row>
    <row r="13" spans="1:25" x14ac:dyDescent="0.25">
      <c r="A13"/>
      <c r="B13" s="2">
        <v>45732.625</v>
      </c>
      <c r="C13" s="1">
        <f t="shared" si="0"/>
        <v>66</v>
      </c>
      <c r="D13" s="1">
        <v>19.5</v>
      </c>
      <c r="E13" s="1">
        <v>1013</v>
      </c>
      <c r="F13"/>
      <c r="G13"/>
      <c r="H13"/>
      <c r="I13"/>
      <c r="J13"/>
      <c r="K13"/>
      <c r="L13"/>
      <c r="M13"/>
      <c r="N13"/>
      <c r="O13"/>
      <c r="P13" s="3"/>
      <c r="Q13"/>
      <c r="R13"/>
      <c r="S13"/>
      <c r="T13"/>
      <c r="U13"/>
      <c r="V13"/>
      <c r="W13"/>
      <c r="X13"/>
      <c r="Y13"/>
    </row>
    <row r="14" spans="1:25" x14ac:dyDescent="0.25">
      <c r="A14"/>
      <c r="B14" s="2">
        <v>45732.875</v>
      </c>
      <c r="C14" s="1">
        <f t="shared" si="0"/>
        <v>72</v>
      </c>
      <c r="D14" s="1">
        <v>20.5</v>
      </c>
      <c r="E14" s="1">
        <v>1011</v>
      </c>
      <c r="F14"/>
      <c r="G14"/>
      <c r="H14"/>
      <c r="I14"/>
      <c r="J14"/>
      <c r="K14"/>
      <c r="L14"/>
      <c r="M14"/>
      <c r="N14"/>
      <c r="O14"/>
      <c r="P14" s="3"/>
      <c r="Q14"/>
      <c r="R14"/>
      <c r="S14"/>
      <c r="T14"/>
      <c r="U14"/>
      <c r="V14"/>
      <c r="W14"/>
      <c r="X14"/>
      <c r="Y14"/>
    </row>
    <row r="15" spans="1:25" x14ac:dyDescent="0.25">
      <c r="A15"/>
      <c r="B15" s="2">
        <v>45733.125</v>
      </c>
      <c r="C15" s="1">
        <f t="shared" si="0"/>
        <v>78</v>
      </c>
      <c r="D15" s="1">
        <v>21</v>
      </c>
      <c r="E15" s="1">
        <v>1008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25" x14ac:dyDescent="0.25">
      <c r="A16" t="s">
        <v>22</v>
      </c>
      <c r="B16" s="2">
        <v>45733.375</v>
      </c>
      <c r="C16" s="1">
        <f t="shared" si="0"/>
        <v>84</v>
      </c>
      <c r="D16" s="1">
        <v>20</v>
      </c>
      <c r="E16" s="1">
        <v>1005</v>
      </c>
      <c r="F16">
        <v>53.61</v>
      </c>
      <c r="G16">
        <v>0.26679999999999998</v>
      </c>
      <c r="H16">
        <v>9.91</v>
      </c>
      <c r="I16">
        <v>14.39</v>
      </c>
      <c r="J16">
        <v>14</v>
      </c>
      <c r="K16">
        <v>0</v>
      </c>
      <c r="L16">
        <v>14</v>
      </c>
      <c r="M16">
        <v>5.67</v>
      </c>
      <c r="N16">
        <v>43</v>
      </c>
      <c r="O16"/>
      <c r="P16" s="3">
        <v>83.851970433412944</v>
      </c>
      <c r="Q16"/>
      <c r="R16"/>
      <c r="S16"/>
      <c r="T16"/>
      <c r="U16"/>
      <c r="V16"/>
      <c r="W16"/>
      <c r="X16"/>
      <c r="Y16"/>
    </row>
    <row r="17" spans="1:25" x14ac:dyDescent="0.25">
      <c r="A17" t="s">
        <v>23</v>
      </c>
      <c r="B17" s="2">
        <v>45733.625</v>
      </c>
      <c r="C17" s="1">
        <f t="shared" si="0"/>
        <v>90</v>
      </c>
      <c r="D17" s="1">
        <v>21.5</v>
      </c>
      <c r="E17" s="1">
        <v>1002</v>
      </c>
      <c r="F17">
        <v>75.88</v>
      </c>
      <c r="G17">
        <v>0.3</v>
      </c>
      <c r="H17">
        <v>9.17</v>
      </c>
      <c r="I17">
        <v>8.5299999999999994</v>
      </c>
      <c r="J17">
        <v>14</v>
      </c>
      <c r="K17">
        <v>0</v>
      </c>
      <c r="L17">
        <v>14</v>
      </c>
      <c r="M17">
        <v>5.54</v>
      </c>
      <c r="N17">
        <v>32</v>
      </c>
      <c r="O17"/>
      <c r="P17" s="3">
        <v>88.586736765269407</v>
      </c>
      <c r="Q17"/>
      <c r="R17">
        <v>4.3049816875000001E-2</v>
      </c>
      <c r="S17">
        <v>5.7456647958333325E-3</v>
      </c>
      <c r="T17">
        <v>1.6145423308333334E-2</v>
      </c>
      <c r="U17">
        <v>0.45874064208333337</v>
      </c>
      <c r="V17">
        <v>9.9295604249680647</v>
      </c>
      <c r="W17">
        <v>9.4650104999999998E-2</v>
      </c>
      <c r="X17">
        <v>0.16653256491666665</v>
      </c>
      <c r="Y17">
        <v>13.798031206224696</v>
      </c>
    </row>
    <row r="18" spans="1:25" x14ac:dyDescent="0.25">
      <c r="A18"/>
      <c r="B18" s="2">
        <v>45733.875</v>
      </c>
      <c r="C18" s="1">
        <f t="shared" si="0"/>
        <v>96</v>
      </c>
      <c r="D18" s="1">
        <v>21.5</v>
      </c>
      <c r="E18" s="1">
        <v>1001</v>
      </c>
      <c r="F18"/>
      <c r="G18"/>
      <c r="H18"/>
      <c r="I18"/>
      <c r="J18"/>
      <c r="K18"/>
      <c r="L18"/>
      <c r="M18"/>
      <c r="N18"/>
      <c r="O18"/>
      <c r="P18" s="3"/>
      <c r="Q18"/>
      <c r="R18"/>
      <c r="S18"/>
      <c r="T18"/>
      <c r="U18"/>
      <c r="V18"/>
      <c r="W18"/>
      <c r="X18"/>
      <c r="Y18"/>
    </row>
    <row r="19" spans="1:25" x14ac:dyDescent="0.25">
      <c r="A19"/>
      <c r="B19" s="2">
        <v>45734.125</v>
      </c>
      <c r="C19" s="1">
        <f t="shared" si="0"/>
        <v>102</v>
      </c>
      <c r="D19" s="1">
        <v>21</v>
      </c>
      <c r="E19" s="1">
        <v>998</v>
      </c>
      <c r="F19"/>
      <c r="G19"/>
      <c r="H19"/>
      <c r="I19"/>
      <c r="J19"/>
      <c r="K19"/>
      <c r="L19"/>
      <c r="M19"/>
      <c r="N19"/>
      <c r="O19"/>
      <c r="P19" s="3"/>
      <c r="Q19"/>
      <c r="R19"/>
      <c r="S19"/>
      <c r="T19"/>
      <c r="U19"/>
      <c r="V19"/>
      <c r="W19"/>
      <c r="X19"/>
      <c r="Y19"/>
    </row>
    <row r="20" spans="1:25" x14ac:dyDescent="0.25">
      <c r="A20" t="s">
        <v>24</v>
      </c>
      <c r="B20" s="2">
        <v>45734.375</v>
      </c>
      <c r="C20" s="1">
        <f t="shared" si="0"/>
        <v>108</v>
      </c>
      <c r="D20" s="1">
        <v>21.3</v>
      </c>
      <c r="E20" s="1">
        <v>996</v>
      </c>
      <c r="F20">
        <v>57.83</v>
      </c>
      <c r="G20"/>
      <c r="H20">
        <v>1.43</v>
      </c>
      <c r="I20">
        <v>5.5</v>
      </c>
      <c r="J20">
        <v>12</v>
      </c>
      <c r="K20">
        <v>0</v>
      </c>
      <c r="L20">
        <v>12</v>
      </c>
      <c r="M20">
        <v>5.76</v>
      </c>
      <c r="N20">
        <v>33</v>
      </c>
      <c r="O20"/>
      <c r="P20" s="3">
        <v>94.033852149073411</v>
      </c>
      <c r="Q20"/>
      <c r="R20"/>
      <c r="S20"/>
      <c r="T20"/>
      <c r="U20"/>
      <c r="V20"/>
      <c r="W20"/>
      <c r="X20"/>
      <c r="Y20"/>
    </row>
    <row r="21" spans="1:25" x14ac:dyDescent="0.25">
      <c r="A21" t="s">
        <v>25</v>
      </c>
      <c r="B21" s="2">
        <v>45734.625</v>
      </c>
      <c r="C21" s="1">
        <f t="shared" si="0"/>
        <v>114</v>
      </c>
      <c r="D21" s="1">
        <v>22</v>
      </c>
      <c r="E21" s="1">
        <v>995</v>
      </c>
      <c r="F21">
        <v>57.68</v>
      </c>
      <c r="G21">
        <v>0.2283</v>
      </c>
      <c r="H21">
        <v>2.2599999999999998</v>
      </c>
      <c r="I21">
        <v>2.79</v>
      </c>
      <c r="J21">
        <v>14</v>
      </c>
      <c r="K21">
        <v>0</v>
      </c>
      <c r="L21">
        <v>14</v>
      </c>
      <c r="M21">
        <v>5.8</v>
      </c>
      <c r="N21">
        <v>20</v>
      </c>
      <c r="O21"/>
      <c r="P21" s="3">
        <v>95.94946714187229</v>
      </c>
      <c r="Q21"/>
      <c r="R21"/>
      <c r="S21"/>
      <c r="T21"/>
      <c r="U21"/>
      <c r="V21"/>
      <c r="W21"/>
      <c r="X21"/>
      <c r="Y21"/>
    </row>
    <row r="22" spans="1:25" x14ac:dyDescent="0.25">
      <c r="A22"/>
      <c r="B22" s="2">
        <v>45734.875</v>
      </c>
      <c r="C22" s="1">
        <f t="shared" si="0"/>
        <v>120</v>
      </c>
      <c r="D22" s="1">
        <v>22</v>
      </c>
      <c r="E22" s="1">
        <v>995</v>
      </c>
      <c r="F22"/>
      <c r="G22"/>
      <c r="H22"/>
      <c r="I22"/>
      <c r="J22"/>
      <c r="K22"/>
      <c r="L22"/>
      <c r="M22"/>
      <c r="N22"/>
      <c r="O22"/>
      <c r="P22" s="3"/>
      <c r="Q22"/>
      <c r="R22"/>
      <c r="S22"/>
      <c r="T22"/>
      <c r="U22"/>
      <c r="V22"/>
      <c r="W22"/>
      <c r="X22"/>
      <c r="Y22"/>
    </row>
    <row r="23" spans="1:25" x14ac:dyDescent="0.25">
      <c r="A23"/>
      <c r="B23" s="2">
        <v>45735.125</v>
      </c>
      <c r="C23" s="1">
        <f t="shared" si="0"/>
        <v>126</v>
      </c>
      <c r="D23" s="1">
        <v>21</v>
      </c>
      <c r="E23" s="1">
        <v>995</v>
      </c>
      <c r="F23"/>
      <c r="G23"/>
      <c r="H23"/>
      <c r="I23"/>
      <c r="J23"/>
      <c r="K23"/>
      <c r="L23"/>
      <c r="M23"/>
      <c r="N23"/>
      <c r="O23"/>
      <c r="P23" s="3"/>
      <c r="Q23"/>
      <c r="R23"/>
      <c r="S23"/>
      <c r="T23"/>
      <c r="U23"/>
      <c r="V23"/>
      <c r="W23"/>
      <c r="X23"/>
      <c r="Y23"/>
    </row>
    <row r="24" spans="1:25" x14ac:dyDescent="0.25">
      <c r="A24" t="s">
        <v>26</v>
      </c>
      <c r="B24" s="2">
        <v>45735.375</v>
      </c>
      <c r="C24" s="1">
        <f t="shared" si="0"/>
        <v>132</v>
      </c>
      <c r="D24" s="1">
        <v>20.5</v>
      </c>
      <c r="E24" s="1">
        <v>993</v>
      </c>
      <c r="F24">
        <v>103.61</v>
      </c>
      <c r="G24">
        <v>0.26269999999999999</v>
      </c>
      <c r="H24">
        <v>0.84</v>
      </c>
      <c r="I24">
        <v>0.34</v>
      </c>
      <c r="J24">
        <v>15</v>
      </c>
      <c r="K24">
        <v>0</v>
      </c>
      <c r="L24">
        <v>15</v>
      </c>
      <c r="M24">
        <v>5.81</v>
      </c>
      <c r="N24">
        <v>24</v>
      </c>
      <c r="O24"/>
      <c r="P24" s="3">
        <v>98.28196745614683</v>
      </c>
      <c r="Q24"/>
      <c r="R24"/>
      <c r="S24"/>
      <c r="T24"/>
      <c r="U24"/>
      <c r="V24"/>
      <c r="W24"/>
      <c r="X24"/>
      <c r="Y24"/>
    </row>
    <row r="25" spans="1:25" x14ac:dyDescent="0.25">
      <c r="A25" t="s">
        <v>27</v>
      </c>
      <c r="B25" s="2">
        <v>45735.625</v>
      </c>
      <c r="C25" s="1">
        <f t="shared" si="0"/>
        <v>138</v>
      </c>
      <c r="D25" s="1">
        <v>21.5</v>
      </c>
      <c r="E25" s="1">
        <v>992</v>
      </c>
      <c r="F25">
        <v>44.55</v>
      </c>
      <c r="G25">
        <v>0.2094</v>
      </c>
      <c r="H25">
        <v>0.02</v>
      </c>
      <c r="I25">
        <v>0.5</v>
      </c>
      <c r="J25">
        <v>18</v>
      </c>
      <c r="K25">
        <v>0</v>
      </c>
      <c r="L25">
        <v>18</v>
      </c>
      <c r="M25">
        <v>6.07</v>
      </c>
      <c r="N25">
        <v>18</v>
      </c>
      <c r="O25"/>
      <c r="P25" s="3">
        <v>96.494699999999995</v>
      </c>
      <c r="Q25"/>
      <c r="R25">
        <v>4.9370857333333337E-2</v>
      </c>
      <c r="S25">
        <v>5.8611256125000004E-3</v>
      </c>
      <c r="T25">
        <v>1.4283132279166668E-2</v>
      </c>
      <c r="U25">
        <v>0.43432474958333334</v>
      </c>
      <c r="V25">
        <v>10.693966574822793</v>
      </c>
      <c r="W25">
        <v>0.14105631166666666</v>
      </c>
      <c r="X25">
        <v>0.161175047125</v>
      </c>
      <c r="Y25">
        <v>8.9041129828909504</v>
      </c>
    </row>
    <row r="26" spans="1:25" x14ac:dyDescent="0.25">
      <c r="R26"/>
      <c r="S26"/>
      <c r="T26"/>
      <c r="U26"/>
      <c r="V26"/>
      <c r="W26"/>
      <c r="X26"/>
      <c r="Y26"/>
    </row>
    <row r="27" spans="1:25" x14ac:dyDescent="0.25">
      <c r="R27"/>
      <c r="S27"/>
      <c r="T27"/>
      <c r="U27"/>
      <c r="V27"/>
      <c r="W27"/>
      <c r="X27"/>
      <c r="Y27"/>
    </row>
    <row r="28" spans="1:25" x14ac:dyDescent="0.25">
      <c r="R28"/>
      <c r="S28"/>
      <c r="T28"/>
      <c r="U28"/>
      <c r="V28"/>
      <c r="W28"/>
      <c r="X28"/>
      <c r="Y28"/>
    </row>
    <row r="29" spans="1:25" x14ac:dyDescent="0.25">
      <c r="R29"/>
      <c r="S29"/>
      <c r="T29"/>
      <c r="U29"/>
      <c r="V29"/>
      <c r="W29"/>
      <c r="X29"/>
      <c r="Y29"/>
    </row>
    <row r="30" spans="1:25" x14ac:dyDescent="0.25">
      <c r="R30"/>
      <c r="S30"/>
      <c r="T30"/>
      <c r="U30"/>
      <c r="V30"/>
      <c r="W30"/>
      <c r="X30"/>
      <c r="Y30"/>
    </row>
    <row r="31" spans="1:25" x14ac:dyDescent="0.25">
      <c r="R31"/>
      <c r="S31"/>
      <c r="T31"/>
      <c r="U31"/>
      <c r="V31"/>
      <c r="W31"/>
      <c r="X31"/>
      <c r="Y31"/>
    </row>
    <row r="32" spans="1:25" x14ac:dyDescent="0.25">
      <c r="R32"/>
      <c r="S32"/>
      <c r="T32"/>
      <c r="U32"/>
      <c r="V32"/>
      <c r="W32"/>
      <c r="X32"/>
      <c r="Y32"/>
    </row>
    <row r="33" spans="18:25" x14ac:dyDescent="0.25">
      <c r="R33"/>
      <c r="S33"/>
      <c r="T33"/>
      <c r="U33"/>
      <c r="V33"/>
      <c r="W33"/>
      <c r="X33"/>
      <c r="Y33"/>
    </row>
    <row r="34" spans="18:25" x14ac:dyDescent="0.25">
      <c r="R34"/>
      <c r="S34"/>
      <c r="T34"/>
      <c r="U34"/>
      <c r="V34"/>
      <c r="W34"/>
      <c r="X34"/>
      <c r="Y34"/>
    </row>
    <row r="35" spans="18:25" x14ac:dyDescent="0.25">
      <c r="R35"/>
      <c r="S35"/>
      <c r="T35"/>
      <c r="U35"/>
      <c r="V35"/>
      <c r="W35"/>
      <c r="X35"/>
      <c r="Y35"/>
    </row>
    <row r="36" spans="18:25" x14ac:dyDescent="0.25">
      <c r="R36"/>
      <c r="S36"/>
      <c r="T36"/>
      <c r="U36"/>
      <c r="V36"/>
      <c r="W36"/>
      <c r="X36"/>
      <c r="Y36"/>
    </row>
    <row r="37" spans="18:25" x14ac:dyDescent="0.25">
      <c r="R37"/>
      <c r="S37"/>
      <c r="T37"/>
      <c r="U37"/>
      <c r="V37"/>
      <c r="W37"/>
      <c r="X37"/>
      <c r="Y37"/>
    </row>
    <row r="38" spans="18:25" x14ac:dyDescent="0.25">
      <c r="R38"/>
      <c r="S38"/>
      <c r="T38"/>
      <c r="U38"/>
      <c r="V38"/>
      <c r="W38"/>
      <c r="X38"/>
      <c r="Y38"/>
    </row>
    <row r="39" spans="18:25" x14ac:dyDescent="0.25">
      <c r="R39"/>
      <c r="S39"/>
      <c r="T39"/>
      <c r="U39"/>
      <c r="V39"/>
      <c r="W39"/>
      <c r="X39"/>
      <c r="Y39"/>
    </row>
    <row r="40" spans="18:25" x14ac:dyDescent="0.25">
      <c r="R40"/>
      <c r="S40"/>
      <c r="T40"/>
      <c r="U40"/>
      <c r="V40"/>
      <c r="W40"/>
      <c r="X40"/>
      <c r="Y40"/>
    </row>
    <row r="41" spans="18:25" x14ac:dyDescent="0.25">
      <c r="R41"/>
      <c r="S41"/>
      <c r="T41"/>
      <c r="U41"/>
      <c r="V41"/>
      <c r="W41"/>
      <c r="X41"/>
      <c r="Y41"/>
    </row>
    <row r="42" spans="18:25" x14ac:dyDescent="0.25">
      <c r="R42"/>
      <c r="S42"/>
      <c r="T42"/>
      <c r="U42"/>
      <c r="V42"/>
      <c r="W42"/>
      <c r="X42"/>
      <c r="Y42"/>
    </row>
    <row r="43" spans="18:25" x14ac:dyDescent="0.25">
      <c r="R43"/>
      <c r="S43"/>
      <c r="T43"/>
      <c r="U43"/>
      <c r="V43"/>
      <c r="W43"/>
      <c r="X43"/>
      <c r="Y43"/>
    </row>
    <row r="44" spans="18:25" x14ac:dyDescent="0.25">
      <c r="R44"/>
      <c r="S44"/>
      <c r="T44"/>
      <c r="U44"/>
      <c r="V44"/>
      <c r="W44"/>
      <c r="X44"/>
      <c r="Y44"/>
    </row>
    <row r="45" spans="18:25" x14ac:dyDescent="0.25">
      <c r="R45"/>
      <c r="S45"/>
      <c r="T45"/>
      <c r="U45"/>
      <c r="V45"/>
      <c r="W45"/>
      <c r="X45"/>
      <c r="Y45"/>
    </row>
    <row r="46" spans="18:25" x14ac:dyDescent="0.25">
      <c r="R46"/>
      <c r="S46"/>
      <c r="T46"/>
      <c r="U46"/>
      <c r="V46"/>
      <c r="W46"/>
      <c r="X46"/>
      <c r="Y46"/>
    </row>
    <row r="47" spans="18:25" x14ac:dyDescent="0.25">
      <c r="R47"/>
      <c r="S47"/>
      <c r="T47"/>
      <c r="U47"/>
      <c r="V47"/>
      <c r="W47"/>
      <c r="X47"/>
      <c r="Y47"/>
    </row>
    <row r="48" spans="18:25" x14ac:dyDescent="0.25">
      <c r="R48"/>
      <c r="S48"/>
      <c r="T48"/>
      <c r="U48"/>
      <c r="V48"/>
      <c r="W48"/>
      <c r="X48"/>
      <c r="Y48"/>
    </row>
    <row r="49" spans="18:25" x14ac:dyDescent="0.25">
      <c r="R49"/>
      <c r="S49"/>
      <c r="T49"/>
      <c r="U49"/>
      <c r="V49"/>
      <c r="W49"/>
      <c r="X49"/>
      <c r="Y49"/>
    </row>
    <row r="50" spans="18:25" x14ac:dyDescent="0.25">
      <c r="R50"/>
      <c r="S50"/>
      <c r="T50"/>
      <c r="U50"/>
      <c r="V50"/>
      <c r="W50"/>
      <c r="X50"/>
      <c r="Y50"/>
    </row>
    <row r="51" spans="18:25" x14ac:dyDescent="0.25">
      <c r="R51"/>
      <c r="S51"/>
      <c r="T51"/>
      <c r="U51"/>
      <c r="V51"/>
      <c r="W51"/>
      <c r="X51"/>
      <c r="Y51"/>
    </row>
    <row r="52" spans="18:25" x14ac:dyDescent="0.25">
      <c r="R52"/>
      <c r="S52"/>
      <c r="T52"/>
      <c r="U52"/>
      <c r="V52"/>
      <c r="W52"/>
      <c r="X52"/>
      <c r="Y52"/>
    </row>
    <row r="53" spans="18:25" x14ac:dyDescent="0.25">
      <c r="R53"/>
      <c r="S53"/>
      <c r="T53"/>
      <c r="U53"/>
      <c r="V53"/>
      <c r="W53"/>
      <c r="X53"/>
      <c r="Y53"/>
    </row>
    <row r="54" spans="18:25" x14ac:dyDescent="0.25">
      <c r="R54"/>
      <c r="S54"/>
      <c r="T54"/>
      <c r="U54"/>
      <c r="V54"/>
      <c r="W54"/>
      <c r="X54"/>
      <c r="Y54"/>
    </row>
    <row r="55" spans="18:25" x14ac:dyDescent="0.25">
      <c r="R55"/>
      <c r="S55"/>
      <c r="T55"/>
      <c r="U55"/>
      <c r="V55"/>
      <c r="W55"/>
      <c r="X55"/>
      <c r="Y55"/>
    </row>
    <row r="56" spans="18:25" x14ac:dyDescent="0.25">
      <c r="R56"/>
      <c r="S56"/>
      <c r="T56"/>
      <c r="U56"/>
      <c r="V56"/>
      <c r="W56"/>
      <c r="X56"/>
      <c r="Y56"/>
    </row>
    <row r="57" spans="18:25" x14ac:dyDescent="0.25">
      <c r="R57"/>
      <c r="S57"/>
      <c r="T57"/>
      <c r="U57"/>
      <c r="V57"/>
      <c r="W57"/>
      <c r="X57"/>
      <c r="Y57"/>
    </row>
    <row r="58" spans="18:25" x14ac:dyDescent="0.25">
      <c r="R58"/>
      <c r="S58"/>
      <c r="T58"/>
      <c r="U58"/>
      <c r="V58"/>
      <c r="W58"/>
      <c r="X58"/>
      <c r="Y58"/>
    </row>
    <row r="59" spans="18:25" x14ac:dyDescent="0.25">
      <c r="R59"/>
      <c r="S59"/>
      <c r="T59"/>
      <c r="U59"/>
      <c r="V59"/>
      <c r="W59"/>
      <c r="X59"/>
      <c r="Y59"/>
    </row>
    <row r="60" spans="18:25" x14ac:dyDescent="0.25">
      <c r="R60"/>
      <c r="S60"/>
      <c r="T60"/>
      <c r="U60"/>
      <c r="V60"/>
      <c r="W60"/>
      <c r="X60"/>
      <c r="Y60"/>
    </row>
    <row r="61" spans="18:25" x14ac:dyDescent="0.25">
      <c r="R61"/>
      <c r="S61"/>
      <c r="T61"/>
      <c r="U61"/>
      <c r="V61"/>
      <c r="W61"/>
      <c r="X61"/>
      <c r="Y61"/>
    </row>
    <row r="62" spans="18:25" x14ac:dyDescent="0.25">
      <c r="R62"/>
      <c r="S62"/>
      <c r="T62"/>
      <c r="U62"/>
      <c r="V62"/>
      <c r="W62"/>
      <c r="X62"/>
      <c r="Y62"/>
    </row>
    <row r="63" spans="18:25" x14ac:dyDescent="0.25">
      <c r="R63"/>
      <c r="S63"/>
      <c r="T63"/>
      <c r="U63"/>
      <c r="V63"/>
      <c r="W63"/>
      <c r="X63"/>
      <c r="Y63"/>
    </row>
    <row r="64" spans="18:25" x14ac:dyDescent="0.25">
      <c r="R64"/>
      <c r="S64"/>
      <c r="T64"/>
      <c r="U64"/>
      <c r="V64"/>
      <c r="W64"/>
      <c r="X64"/>
      <c r="Y64"/>
    </row>
    <row r="65" spans="18:25" x14ac:dyDescent="0.25">
      <c r="R65"/>
      <c r="S65"/>
      <c r="T65"/>
      <c r="U65"/>
      <c r="V65"/>
      <c r="W65"/>
      <c r="X65"/>
      <c r="Y6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5"/>
  <sheetViews>
    <sheetView zoomScale="85" zoomScaleNormal="85" workbookViewId="0">
      <selection activeCell="R2" sqref="R2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6" width="9.140625" style="1"/>
    <col min="18" max="26" width="9.140625" style="1"/>
  </cols>
  <sheetData>
    <row r="1" spans="1:26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163</v>
      </c>
      <c r="P1" s="1" t="s">
        <v>14</v>
      </c>
      <c r="Q1" s="4" t="s">
        <v>16</v>
      </c>
      <c r="R1" s="1" t="s">
        <v>15</v>
      </c>
      <c r="S1" s="1" t="s">
        <v>162</v>
      </c>
      <c r="T1" s="1" t="s">
        <v>155</v>
      </c>
      <c r="U1" s="1" t="s">
        <v>156</v>
      </c>
      <c r="V1" s="1" t="s">
        <v>157</v>
      </c>
      <c r="W1" s="1" t="s">
        <v>158</v>
      </c>
      <c r="X1" s="1" t="s">
        <v>159</v>
      </c>
      <c r="Y1" s="1" t="s">
        <v>160</v>
      </c>
      <c r="Z1" s="1" t="s">
        <v>161</v>
      </c>
    </row>
    <row r="2" spans="1:26" x14ac:dyDescent="0.25">
      <c r="A2" t="s">
        <v>28</v>
      </c>
      <c r="B2" s="2">
        <v>45729.875</v>
      </c>
      <c r="C2" s="1">
        <v>0</v>
      </c>
      <c r="D2" s="1">
        <v>17</v>
      </c>
      <c r="E2" s="1">
        <v>1065</v>
      </c>
      <c r="F2">
        <v>2.76</v>
      </c>
      <c r="G2">
        <v>0.1968</v>
      </c>
      <c r="H2">
        <v>77.81</v>
      </c>
      <c r="I2">
        <v>77.540000000000006</v>
      </c>
      <c r="J2">
        <v>101</v>
      </c>
      <c r="K2">
        <v>75</v>
      </c>
      <c r="L2">
        <v>162.5</v>
      </c>
      <c r="M2">
        <v>2.13</v>
      </c>
      <c r="N2">
        <v>24</v>
      </c>
      <c r="O2">
        <v>0</v>
      </c>
      <c r="P2"/>
      <c r="Q2" s="3">
        <v>6.1542000000000003</v>
      </c>
      <c r="R2">
        <v>87</v>
      </c>
      <c r="S2">
        <v>3.3449949062499998E-2</v>
      </c>
      <c r="T2">
        <v>3.2859872941666665E-3</v>
      </c>
      <c r="U2">
        <v>8.601210633333333E-4</v>
      </c>
      <c r="V2">
        <v>4.9527308666666671E-3</v>
      </c>
      <c r="W2">
        <v>0.16781751764209243</v>
      </c>
      <c r="X2">
        <v>1.2845678733333334E-2</v>
      </c>
      <c r="Y2">
        <v>9.8100357333333332E-3</v>
      </c>
      <c r="Z2">
        <v>1.793548000910494</v>
      </c>
    </row>
    <row r="3" spans="1:26" x14ac:dyDescent="0.25">
      <c r="A3"/>
      <c r="B3" s="2">
        <v>45730.125</v>
      </c>
      <c r="C3" s="1">
        <f t="shared" ref="C3:C33" si="0">(B3-B2)*24+C2</f>
        <v>6</v>
      </c>
      <c r="D3" s="1">
        <v>19</v>
      </c>
      <c r="E3" s="1">
        <v>1065</v>
      </c>
      <c r="F3"/>
      <c r="G3"/>
      <c r="H3"/>
      <c r="I3"/>
      <c r="J3"/>
      <c r="K3"/>
      <c r="L3"/>
      <c r="M3"/>
      <c r="N3"/>
      <c r="O3"/>
      <c r="P3"/>
      <c r="Q3" s="3"/>
      <c r="R3"/>
      <c r="S3"/>
      <c r="T3"/>
      <c r="U3"/>
      <c r="V3"/>
      <c r="W3"/>
      <c r="X3"/>
      <c r="Y3"/>
      <c r="Z3"/>
    </row>
    <row r="4" spans="1:26" x14ac:dyDescent="0.25">
      <c r="A4" t="s">
        <v>29</v>
      </c>
      <c r="B4" s="2">
        <v>45730.375</v>
      </c>
      <c r="C4" s="1">
        <f t="shared" si="0"/>
        <v>12</v>
      </c>
      <c r="D4" s="1">
        <v>18.8</v>
      </c>
      <c r="E4" s="1">
        <v>1065</v>
      </c>
      <c r="F4">
        <v>19.97</v>
      </c>
      <c r="G4">
        <v>0.1149</v>
      </c>
      <c r="H4">
        <v>76.2</v>
      </c>
      <c r="I4">
        <v>69.849999999999994</v>
      </c>
      <c r="J4">
        <v>84</v>
      </c>
      <c r="K4">
        <v>56</v>
      </c>
      <c r="L4">
        <v>129.91999999999999</v>
      </c>
      <c r="M4">
        <v>2.42</v>
      </c>
      <c r="N4">
        <v>40</v>
      </c>
      <c r="O4">
        <f>N4-$N$2</f>
        <v>16</v>
      </c>
      <c r="P4"/>
      <c r="Q4" s="3">
        <v>5.4257134148516144</v>
      </c>
      <c r="R4"/>
      <c r="S4"/>
      <c r="T4"/>
      <c r="U4"/>
      <c r="V4"/>
      <c r="W4"/>
      <c r="X4"/>
      <c r="Y4"/>
      <c r="Z4"/>
    </row>
    <row r="5" spans="1:26" x14ac:dyDescent="0.25">
      <c r="A5"/>
      <c r="B5" s="2">
        <v>45730.625</v>
      </c>
      <c r="C5" s="1">
        <f t="shared" si="0"/>
        <v>18</v>
      </c>
      <c r="D5" s="1">
        <v>19.2</v>
      </c>
      <c r="E5" s="1">
        <v>1062</v>
      </c>
      <c r="F5"/>
      <c r="G5"/>
      <c r="H5"/>
      <c r="I5"/>
      <c r="J5"/>
      <c r="K5"/>
      <c r="L5"/>
      <c r="M5"/>
      <c r="N5"/>
      <c r="O5"/>
      <c r="P5"/>
      <c r="Q5" s="3"/>
      <c r="R5"/>
      <c r="S5"/>
      <c r="T5"/>
      <c r="U5"/>
      <c r="V5"/>
      <c r="W5"/>
      <c r="X5"/>
      <c r="Y5"/>
      <c r="Z5"/>
    </row>
    <row r="6" spans="1:26" x14ac:dyDescent="0.25">
      <c r="A6"/>
      <c r="B6" s="2">
        <v>45730.875</v>
      </c>
      <c r="C6" s="1">
        <f t="shared" si="0"/>
        <v>24</v>
      </c>
      <c r="D6" s="1">
        <v>19</v>
      </c>
      <c r="E6" s="1">
        <v>1060</v>
      </c>
      <c r="F6"/>
      <c r="G6"/>
      <c r="H6"/>
      <c r="I6"/>
      <c r="J6"/>
      <c r="K6"/>
      <c r="L6"/>
      <c r="M6"/>
      <c r="N6"/>
      <c r="O6"/>
      <c r="P6"/>
      <c r="Q6" s="3"/>
      <c r="R6"/>
      <c r="S6"/>
      <c r="T6"/>
      <c r="U6"/>
      <c r="V6"/>
      <c r="W6"/>
      <c r="X6"/>
      <c r="Y6"/>
      <c r="Z6"/>
    </row>
    <row r="7" spans="1:26" x14ac:dyDescent="0.25">
      <c r="A7"/>
      <c r="B7" s="2">
        <v>45731.125</v>
      </c>
      <c r="C7" s="1">
        <f t="shared" si="0"/>
        <v>30</v>
      </c>
      <c r="D7" s="1">
        <v>18</v>
      </c>
      <c r="E7" s="1">
        <v>1058</v>
      </c>
      <c r="F7"/>
      <c r="G7"/>
      <c r="H7"/>
      <c r="I7"/>
      <c r="J7"/>
      <c r="K7"/>
      <c r="L7"/>
      <c r="M7"/>
      <c r="N7"/>
      <c r="O7"/>
      <c r="P7"/>
      <c r="Q7" s="3"/>
      <c r="R7"/>
      <c r="S7"/>
      <c r="T7"/>
      <c r="U7"/>
      <c r="V7"/>
      <c r="W7"/>
      <c r="X7"/>
      <c r="Y7"/>
      <c r="Z7"/>
    </row>
    <row r="8" spans="1:26" x14ac:dyDescent="0.25">
      <c r="A8" t="s">
        <v>30</v>
      </c>
      <c r="B8" s="2">
        <v>45731.375</v>
      </c>
      <c r="C8" s="1">
        <f t="shared" si="0"/>
        <v>36</v>
      </c>
      <c r="D8" s="1">
        <v>18</v>
      </c>
      <c r="E8" s="1">
        <v>1052</v>
      </c>
      <c r="F8">
        <v>32.57</v>
      </c>
      <c r="G8">
        <v>0.1172</v>
      </c>
      <c r="H8">
        <v>65.11</v>
      </c>
      <c r="I8">
        <v>54.65</v>
      </c>
      <c r="J8">
        <v>28</v>
      </c>
      <c r="K8">
        <v>0</v>
      </c>
      <c r="L8">
        <v>28</v>
      </c>
      <c r="M8">
        <v>3.63</v>
      </c>
      <c r="N8">
        <v>56</v>
      </c>
      <c r="O8">
        <f t="shared" ref="O8:O9" si="1">N8-$N$2</f>
        <v>32</v>
      </c>
      <c r="P8"/>
      <c r="Q8" s="3">
        <v>21.747029124645262</v>
      </c>
      <c r="R8"/>
      <c r="S8">
        <v>3.4592632245833338E-2</v>
      </c>
      <c r="T8">
        <v>3.6056000704166669E-3</v>
      </c>
      <c r="U8">
        <v>9.8189486958333346E-3</v>
      </c>
      <c r="V8">
        <v>0.20501537949999998</v>
      </c>
      <c r="W8">
        <v>2.3102895287628704</v>
      </c>
      <c r="X8">
        <v>5.3848087291666673E-2</v>
      </c>
      <c r="Y8">
        <v>6.6530640208333339E-2</v>
      </c>
      <c r="Z8">
        <v>5.336846749184641</v>
      </c>
    </row>
    <row r="9" spans="1:26" x14ac:dyDescent="0.25">
      <c r="A9" t="s">
        <v>31</v>
      </c>
      <c r="B9" s="2">
        <v>45731.625</v>
      </c>
      <c r="C9" s="1">
        <f t="shared" si="0"/>
        <v>42</v>
      </c>
      <c r="D9" s="1">
        <v>19</v>
      </c>
      <c r="E9" s="1">
        <v>1047</v>
      </c>
      <c r="F9">
        <v>42.78</v>
      </c>
      <c r="G9">
        <v>0.1729</v>
      </c>
      <c r="H9">
        <v>47.91</v>
      </c>
      <c r="I9">
        <v>48.59</v>
      </c>
      <c r="J9">
        <v>41</v>
      </c>
      <c r="K9">
        <v>31</v>
      </c>
      <c r="L9">
        <v>66.42</v>
      </c>
      <c r="M9">
        <v>3.76</v>
      </c>
      <c r="N9">
        <v>60</v>
      </c>
      <c r="O9">
        <f t="shared" si="1"/>
        <v>36</v>
      </c>
      <c r="P9"/>
      <c r="Q9" s="3">
        <v>27.102674268067204</v>
      </c>
      <c r="R9" s="1">
        <v>100</v>
      </c>
      <c r="S9"/>
      <c r="T9"/>
      <c r="U9"/>
      <c r="V9"/>
      <c r="W9"/>
      <c r="X9"/>
      <c r="Y9"/>
      <c r="Z9"/>
    </row>
    <row r="10" spans="1:26" x14ac:dyDescent="0.25">
      <c r="A10"/>
      <c r="B10" s="2">
        <v>45731.875</v>
      </c>
      <c r="C10" s="1">
        <f t="shared" si="0"/>
        <v>48</v>
      </c>
      <c r="D10" s="1">
        <v>18</v>
      </c>
      <c r="E10" s="1">
        <v>1045</v>
      </c>
      <c r="F10"/>
      <c r="G10"/>
      <c r="H10"/>
      <c r="I10"/>
      <c r="J10"/>
      <c r="K10"/>
      <c r="L10"/>
      <c r="M10"/>
      <c r="N10"/>
      <c r="O10"/>
      <c r="P10"/>
      <c r="Q10" s="3"/>
      <c r="R10"/>
      <c r="S10"/>
      <c r="T10"/>
      <c r="U10"/>
      <c r="V10"/>
      <c r="W10"/>
      <c r="X10"/>
      <c r="Y10"/>
      <c r="Z10"/>
    </row>
    <row r="11" spans="1:26" x14ac:dyDescent="0.25">
      <c r="A11"/>
      <c r="B11" s="2">
        <v>45732.125</v>
      </c>
      <c r="C11" s="1">
        <f t="shared" si="0"/>
        <v>54</v>
      </c>
      <c r="D11" s="1">
        <v>18.600000000000001</v>
      </c>
      <c r="E11" s="1">
        <v>1040</v>
      </c>
      <c r="F11"/>
      <c r="G11"/>
      <c r="H11"/>
      <c r="I11"/>
      <c r="J11"/>
      <c r="K11"/>
      <c r="L11"/>
      <c r="M11"/>
      <c r="N11"/>
      <c r="O11"/>
      <c r="P11"/>
      <c r="Q11" s="3"/>
      <c r="R11"/>
      <c r="S11"/>
      <c r="T11"/>
      <c r="U11"/>
      <c r="V11"/>
      <c r="W11"/>
      <c r="X11"/>
      <c r="Y11"/>
      <c r="Z11"/>
    </row>
    <row r="12" spans="1:26" x14ac:dyDescent="0.25">
      <c r="A12" t="s">
        <v>32</v>
      </c>
      <c r="B12" s="2">
        <v>45732.375</v>
      </c>
      <c r="C12" s="1">
        <f t="shared" si="0"/>
        <v>60</v>
      </c>
      <c r="D12" s="1">
        <v>18.600000000000001</v>
      </c>
      <c r="E12" s="1">
        <v>1032</v>
      </c>
      <c r="F12">
        <v>50.77</v>
      </c>
      <c r="G12">
        <v>0.1653</v>
      </c>
      <c r="H12">
        <v>39.58</v>
      </c>
      <c r="I12">
        <v>36.299999999999997</v>
      </c>
      <c r="J12">
        <v>20</v>
      </c>
      <c r="K12">
        <v>0</v>
      </c>
      <c r="L12">
        <v>20</v>
      </c>
      <c r="M12">
        <v>4.78</v>
      </c>
      <c r="N12">
        <v>50</v>
      </c>
      <c r="O12">
        <f>N12-$N$2</f>
        <v>26</v>
      </c>
      <c r="P12"/>
      <c r="Q12" s="3">
        <v>50.082331171270141</v>
      </c>
      <c r="R12"/>
      <c r="S12"/>
      <c r="T12"/>
      <c r="U12"/>
      <c r="V12"/>
      <c r="W12"/>
      <c r="X12"/>
      <c r="Y12"/>
      <c r="Z12"/>
    </row>
    <row r="13" spans="1:26" x14ac:dyDescent="0.25">
      <c r="A13"/>
      <c r="B13" s="2">
        <v>45732.625</v>
      </c>
      <c r="C13" s="1">
        <f t="shared" si="0"/>
        <v>66</v>
      </c>
      <c r="D13" s="1">
        <v>18.399999999999999</v>
      </c>
      <c r="E13" s="1">
        <v>1026</v>
      </c>
      <c r="F13"/>
      <c r="G13"/>
      <c r="H13"/>
      <c r="I13"/>
      <c r="J13"/>
      <c r="K13"/>
      <c r="L13"/>
      <c r="M13"/>
      <c r="N13"/>
      <c r="O13"/>
      <c r="P13"/>
      <c r="Q13" s="3"/>
      <c r="R13"/>
      <c r="S13"/>
      <c r="T13"/>
      <c r="U13"/>
      <c r="V13"/>
      <c r="W13"/>
      <c r="X13"/>
      <c r="Y13"/>
      <c r="Z13"/>
    </row>
    <row r="14" spans="1:26" x14ac:dyDescent="0.25">
      <c r="A14"/>
      <c r="B14" s="2">
        <v>45732.875</v>
      </c>
      <c r="C14" s="1">
        <f t="shared" si="0"/>
        <v>72</v>
      </c>
      <c r="D14" s="1">
        <v>19</v>
      </c>
      <c r="E14" s="1">
        <v>1024</v>
      </c>
      <c r="F14"/>
      <c r="G14"/>
      <c r="H14"/>
      <c r="I14"/>
      <c r="J14"/>
      <c r="K14"/>
      <c r="L14"/>
      <c r="M14"/>
      <c r="N14"/>
      <c r="O14"/>
      <c r="P14"/>
      <c r="Q14" s="3"/>
      <c r="R14"/>
      <c r="S14"/>
      <c r="T14"/>
      <c r="U14"/>
      <c r="V14"/>
      <c r="W14"/>
      <c r="X14"/>
      <c r="Y14"/>
      <c r="Z14"/>
    </row>
    <row r="15" spans="1:26" x14ac:dyDescent="0.25">
      <c r="A15"/>
      <c r="B15" s="2">
        <v>45733.125</v>
      </c>
      <c r="C15" s="1">
        <f t="shared" si="0"/>
        <v>78</v>
      </c>
      <c r="D15" s="1">
        <v>19</v>
      </c>
      <c r="E15" s="1">
        <v>1020</v>
      </c>
      <c r="F15"/>
      <c r="G15"/>
      <c r="H15"/>
      <c r="I15"/>
      <c r="J15"/>
      <c r="K15"/>
      <c r="L15"/>
      <c r="M15"/>
      <c r="N15"/>
      <c r="O15"/>
      <c r="P15"/>
      <c r="Q15" s="3"/>
      <c r="R15"/>
      <c r="S15"/>
      <c r="T15"/>
      <c r="U15"/>
      <c r="V15"/>
      <c r="W15"/>
      <c r="X15"/>
      <c r="Y15"/>
      <c r="Z15"/>
    </row>
    <row r="16" spans="1:26" x14ac:dyDescent="0.25">
      <c r="A16" t="s">
        <v>33</v>
      </c>
      <c r="B16" s="2">
        <v>45733.375</v>
      </c>
      <c r="C16" s="1">
        <f t="shared" si="0"/>
        <v>84</v>
      </c>
      <c r="D16" s="1">
        <v>18.399999999999999</v>
      </c>
      <c r="E16" s="1">
        <v>1017</v>
      </c>
      <c r="F16">
        <v>59.29</v>
      </c>
      <c r="G16">
        <v>0.23749999999999999</v>
      </c>
      <c r="H16">
        <v>23.39</v>
      </c>
      <c r="I16">
        <v>23.8</v>
      </c>
      <c r="J16">
        <v>14</v>
      </c>
      <c r="K16">
        <v>0</v>
      </c>
      <c r="L16">
        <v>14</v>
      </c>
      <c r="M16">
        <v>5.27</v>
      </c>
      <c r="N16">
        <v>36</v>
      </c>
      <c r="O16">
        <f t="shared" ref="O16:O17" si="2">N16-$N$2</f>
        <v>12</v>
      </c>
      <c r="P16"/>
      <c r="Q16" s="3">
        <v>68.487816031223957</v>
      </c>
      <c r="R16"/>
      <c r="S16">
        <v>3.2879410387500002E-2</v>
      </c>
      <c r="T16">
        <v>3.3165367500000002E-3</v>
      </c>
      <c r="U16">
        <v>8.0819742583333343E-3</v>
      </c>
      <c r="V16">
        <v>0.334094109375</v>
      </c>
      <c r="W16">
        <v>9.1334655628006072</v>
      </c>
      <c r="X16">
        <v>6.8433101374999986E-2</v>
      </c>
      <c r="Y16">
        <v>0.14949112408333332</v>
      </c>
      <c r="Z16">
        <v>9.3076685078905435</v>
      </c>
    </row>
    <row r="17" spans="1:26" x14ac:dyDescent="0.25">
      <c r="A17" t="s">
        <v>34</v>
      </c>
      <c r="B17" s="2">
        <v>45733.625</v>
      </c>
      <c r="C17" s="1">
        <f t="shared" si="0"/>
        <v>90</v>
      </c>
      <c r="D17" s="1">
        <v>19</v>
      </c>
      <c r="E17" s="1">
        <v>1013</v>
      </c>
      <c r="F17">
        <v>62.6</v>
      </c>
      <c r="G17">
        <v>0.34799999999999998</v>
      </c>
      <c r="H17">
        <v>7.12</v>
      </c>
      <c r="I17">
        <v>32.520000000000003</v>
      </c>
      <c r="J17">
        <v>15</v>
      </c>
      <c r="K17">
        <v>0</v>
      </c>
      <c r="L17">
        <v>15</v>
      </c>
      <c r="M17">
        <v>5.34</v>
      </c>
      <c r="N17">
        <v>42</v>
      </c>
      <c r="O17">
        <f t="shared" si="2"/>
        <v>18</v>
      </c>
      <c r="P17"/>
      <c r="Q17" s="3">
        <v>74.457791342249678</v>
      </c>
      <c r="R17"/>
      <c r="S17"/>
      <c r="T17"/>
      <c r="U17"/>
      <c r="V17"/>
      <c r="W17"/>
      <c r="X17"/>
      <c r="Y17"/>
      <c r="Z17"/>
    </row>
    <row r="18" spans="1:26" x14ac:dyDescent="0.25">
      <c r="A18"/>
      <c r="B18" s="2">
        <v>45733.875</v>
      </c>
      <c r="C18" s="1">
        <f t="shared" si="0"/>
        <v>96</v>
      </c>
      <c r="D18" s="1">
        <v>19</v>
      </c>
      <c r="E18" s="1">
        <v>1012</v>
      </c>
      <c r="F18"/>
      <c r="G18"/>
      <c r="H18"/>
      <c r="I18"/>
      <c r="J18"/>
      <c r="K18"/>
      <c r="L18"/>
      <c r="M18"/>
      <c r="N18"/>
      <c r="O18"/>
      <c r="P18"/>
      <c r="Q18" s="3"/>
      <c r="R18"/>
      <c r="S18"/>
      <c r="T18"/>
      <c r="U18"/>
      <c r="V18"/>
      <c r="W18"/>
      <c r="X18"/>
      <c r="Y18"/>
      <c r="Z18"/>
    </row>
    <row r="19" spans="1:26" x14ac:dyDescent="0.25">
      <c r="A19"/>
      <c r="B19" s="2">
        <v>45734.125</v>
      </c>
      <c r="C19" s="1">
        <f t="shared" si="0"/>
        <v>102</v>
      </c>
      <c r="D19" s="1">
        <v>19</v>
      </c>
      <c r="E19" s="1">
        <v>1008</v>
      </c>
      <c r="F19"/>
      <c r="G19"/>
      <c r="H19"/>
      <c r="I19"/>
      <c r="J19"/>
      <c r="K19"/>
      <c r="L19"/>
      <c r="M19"/>
      <c r="N19"/>
      <c r="O19"/>
      <c r="P19"/>
      <c r="Q19" s="3"/>
      <c r="R19"/>
      <c r="S19"/>
      <c r="T19"/>
      <c r="U19"/>
      <c r="V19"/>
      <c r="W19"/>
      <c r="X19"/>
      <c r="Y19"/>
      <c r="Z19"/>
    </row>
    <row r="20" spans="1:26" x14ac:dyDescent="0.25">
      <c r="A20" t="s">
        <v>35</v>
      </c>
      <c r="B20" s="2">
        <v>45734.375</v>
      </c>
      <c r="C20" s="1">
        <f t="shared" si="0"/>
        <v>108</v>
      </c>
      <c r="D20" s="1">
        <v>20.5</v>
      </c>
      <c r="E20" s="1">
        <v>1005</v>
      </c>
      <c r="F20">
        <v>58.83</v>
      </c>
      <c r="G20">
        <v>-1.4500000000000001E-2</v>
      </c>
      <c r="H20">
        <v>2.04</v>
      </c>
      <c r="I20">
        <v>18.55</v>
      </c>
      <c r="J20">
        <v>12</v>
      </c>
      <c r="K20">
        <v>0</v>
      </c>
      <c r="L20">
        <v>12</v>
      </c>
      <c r="M20">
        <v>5.45</v>
      </c>
      <c r="N20">
        <v>31</v>
      </c>
      <c r="O20">
        <f t="shared" ref="O20:O21" si="3">N20-$N$2</f>
        <v>7</v>
      </c>
      <c r="P20"/>
      <c r="Q20" s="3">
        <v>84.108329761565344</v>
      </c>
      <c r="R20"/>
      <c r="S20"/>
      <c r="T20"/>
      <c r="U20"/>
      <c r="V20"/>
      <c r="W20"/>
      <c r="X20"/>
      <c r="Y20"/>
      <c r="Z20"/>
    </row>
    <row r="21" spans="1:26" x14ac:dyDescent="0.25">
      <c r="A21" t="s">
        <v>36</v>
      </c>
      <c r="B21" s="2">
        <v>45734.625</v>
      </c>
      <c r="C21" s="1">
        <f t="shared" si="0"/>
        <v>114</v>
      </c>
      <c r="D21" s="1">
        <v>19.5</v>
      </c>
      <c r="E21" s="1">
        <v>1002</v>
      </c>
      <c r="F21">
        <v>62.37</v>
      </c>
      <c r="G21">
        <v>0.2233</v>
      </c>
      <c r="H21">
        <v>1.45</v>
      </c>
      <c r="I21">
        <v>17.46</v>
      </c>
      <c r="J21">
        <v>12</v>
      </c>
      <c r="K21">
        <v>0</v>
      </c>
      <c r="L21">
        <v>12</v>
      </c>
      <c r="M21">
        <v>5.57</v>
      </c>
      <c r="N21">
        <v>37</v>
      </c>
      <c r="O21">
        <f t="shared" si="3"/>
        <v>13</v>
      </c>
      <c r="P21"/>
      <c r="Q21" s="3">
        <v>86.675456925882287</v>
      </c>
      <c r="R21"/>
      <c r="S21">
        <v>3.588404345416666E-2</v>
      </c>
      <c r="T21">
        <v>4.209357491666667E-3</v>
      </c>
      <c r="U21">
        <v>7.2248650499999994E-3</v>
      </c>
      <c r="V21">
        <v>0.32725227266666668</v>
      </c>
      <c r="W21">
        <v>8.6038245541269252</v>
      </c>
      <c r="X21">
        <v>7.0845824666666682E-2</v>
      </c>
      <c r="Y21">
        <v>0.17609611887499999</v>
      </c>
      <c r="Z21">
        <v>8.312545231235605</v>
      </c>
    </row>
    <row r="22" spans="1:26" x14ac:dyDescent="0.25">
      <c r="A22"/>
      <c r="B22" s="2">
        <v>45734.875</v>
      </c>
      <c r="C22" s="1">
        <f t="shared" si="0"/>
        <v>120</v>
      </c>
      <c r="D22" s="1">
        <v>19</v>
      </c>
      <c r="E22" s="1">
        <v>1002</v>
      </c>
      <c r="F22"/>
      <c r="G22"/>
      <c r="H22"/>
      <c r="I22"/>
      <c r="J22"/>
      <c r="K22"/>
      <c r="L22"/>
      <c r="M22"/>
      <c r="N22"/>
      <c r="O22"/>
      <c r="P22"/>
      <c r="Q22" s="3"/>
      <c r="R22"/>
      <c r="S22"/>
      <c r="T22"/>
      <c r="U22"/>
      <c r="V22"/>
      <c r="W22"/>
      <c r="X22"/>
      <c r="Y22"/>
      <c r="Z22"/>
    </row>
    <row r="23" spans="1:26" x14ac:dyDescent="0.25">
      <c r="A23"/>
      <c r="B23" s="2">
        <v>45735.125</v>
      </c>
      <c r="C23" s="1">
        <f t="shared" si="0"/>
        <v>126</v>
      </c>
      <c r="D23" s="1">
        <v>18.5</v>
      </c>
      <c r="E23" s="1">
        <v>1001</v>
      </c>
      <c r="F23"/>
      <c r="G23"/>
      <c r="H23"/>
      <c r="I23"/>
      <c r="J23"/>
      <c r="K23"/>
      <c r="L23"/>
      <c r="M23"/>
      <c r="N23"/>
      <c r="O23"/>
      <c r="P23"/>
      <c r="Q23" s="3"/>
      <c r="R23"/>
      <c r="S23"/>
      <c r="T23"/>
      <c r="U23"/>
      <c r="V23"/>
      <c r="W23"/>
      <c r="X23"/>
      <c r="Y23"/>
      <c r="Z23"/>
    </row>
    <row r="24" spans="1:26" x14ac:dyDescent="0.25">
      <c r="A24" t="s">
        <v>37</v>
      </c>
      <c r="B24" s="2">
        <v>45735.375</v>
      </c>
      <c r="C24" s="1">
        <f t="shared" si="0"/>
        <v>132</v>
      </c>
      <c r="D24" s="1">
        <v>18</v>
      </c>
      <c r="E24" s="1">
        <v>999</v>
      </c>
      <c r="F24">
        <v>87.48</v>
      </c>
      <c r="G24">
        <v>0.2346</v>
      </c>
      <c r="H24">
        <v>0.44</v>
      </c>
      <c r="I24">
        <v>0</v>
      </c>
      <c r="J24">
        <v>14</v>
      </c>
      <c r="K24">
        <v>0</v>
      </c>
      <c r="L24">
        <v>14</v>
      </c>
      <c r="M24">
        <v>5.82</v>
      </c>
      <c r="N24">
        <v>27</v>
      </c>
      <c r="O24">
        <f t="shared" ref="O24:O25" si="4">N24-$N$2</f>
        <v>3</v>
      </c>
      <c r="P24"/>
      <c r="Q24" s="3">
        <v>91.018540771202652</v>
      </c>
      <c r="R24"/>
      <c r="S24"/>
      <c r="T24"/>
      <c r="U24"/>
      <c r="V24"/>
      <c r="W24"/>
      <c r="X24"/>
      <c r="Y24"/>
      <c r="Z24"/>
    </row>
    <row r="25" spans="1:26" x14ac:dyDescent="0.25">
      <c r="A25" t="s">
        <v>38</v>
      </c>
      <c r="B25" s="2">
        <v>45735.625</v>
      </c>
      <c r="C25" s="1">
        <f t="shared" si="0"/>
        <v>138</v>
      </c>
      <c r="D25" s="1">
        <v>19.5</v>
      </c>
      <c r="E25" s="1">
        <v>997</v>
      </c>
      <c r="F25">
        <v>48.69</v>
      </c>
      <c r="G25">
        <v>0.21690000000000001</v>
      </c>
      <c r="H25">
        <v>0.08</v>
      </c>
      <c r="I25">
        <v>8.84</v>
      </c>
      <c r="J25">
        <v>12</v>
      </c>
      <c r="K25">
        <v>0</v>
      </c>
      <c r="L25">
        <v>12</v>
      </c>
      <c r="M25">
        <v>5.73</v>
      </c>
      <c r="N25">
        <v>28</v>
      </c>
      <c r="O25">
        <f t="shared" si="4"/>
        <v>4</v>
      </c>
      <c r="P25"/>
      <c r="Q25" s="3">
        <v>93.745465937729364</v>
      </c>
      <c r="R25"/>
      <c r="S25"/>
      <c r="T25"/>
      <c r="U25"/>
      <c r="V25"/>
      <c r="W25"/>
      <c r="X25"/>
      <c r="Y25"/>
      <c r="Z25"/>
    </row>
    <row r="26" spans="1:26" x14ac:dyDescent="0.25">
      <c r="A26"/>
      <c r="B26" s="2">
        <v>45735.875</v>
      </c>
      <c r="C26" s="1">
        <f t="shared" si="0"/>
        <v>144</v>
      </c>
      <c r="D26" s="1">
        <v>19</v>
      </c>
      <c r="E26" s="1">
        <v>997</v>
      </c>
      <c r="F26"/>
      <c r="G26"/>
      <c r="H26"/>
      <c r="I26"/>
      <c r="J26"/>
      <c r="K26"/>
      <c r="L26"/>
      <c r="M26"/>
      <c r="N26"/>
      <c r="O26"/>
      <c r="P26"/>
      <c r="Q26" s="3"/>
      <c r="R26"/>
      <c r="S26"/>
      <c r="T26"/>
      <c r="U26"/>
      <c r="V26"/>
      <c r="W26"/>
      <c r="X26"/>
      <c r="Y26"/>
      <c r="Z26"/>
    </row>
    <row r="27" spans="1:26" x14ac:dyDescent="0.25">
      <c r="A27"/>
      <c r="B27" s="2">
        <v>45736.125</v>
      </c>
      <c r="C27" s="1">
        <f t="shared" si="0"/>
        <v>150</v>
      </c>
      <c r="D27" s="1">
        <v>19</v>
      </c>
      <c r="E27" s="1">
        <v>997</v>
      </c>
      <c r="F27"/>
      <c r="G27"/>
      <c r="H27"/>
      <c r="I27"/>
      <c r="J27"/>
      <c r="K27"/>
      <c r="L27"/>
      <c r="M27"/>
      <c r="N27"/>
      <c r="O27"/>
      <c r="P27"/>
      <c r="Q27" s="3"/>
      <c r="R27"/>
      <c r="S27"/>
      <c r="T27"/>
      <c r="U27"/>
      <c r="V27"/>
      <c r="W27"/>
      <c r="X27"/>
      <c r="Y27"/>
      <c r="Z27"/>
    </row>
    <row r="28" spans="1:26" x14ac:dyDescent="0.25">
      <c r="A28" t="s">
        <v>39</v>
      </c>
      <c r="B28" s="2">
        <v>45736.375</v>
      </c>
      <c r="C28" s="1">
        <f t="shared" si="0"/>
        <v>156</v>
      </c>
      <c r="D28" s="1">
        <v>18.2</v>
      </c>
      <c r="E28" s="1">
        <v>995</v>
      </c>
      <c r="F28">
        <v>46.62</v>
      </c>
      <c r="G28"/>
      <c r="H28">
        <v>7.0000000000000007E-2</v>
      </c>
      <c r="I28">
        <v>5.23</v>
      </c>
      <c r="J28">
        <v>13</v>
      </c>
      <c r="K28">
        <v>0</v>
      </c>
      <c r="L28">
        <v>13</v>
      </c>
      <c r="M28">
        <v>5.68</v>
      </c>
      <c r="N28">
        <v>24</v>
      </c>
      <c r="O28">
        <f>N28-$N$2</f>
        <v>0</v>
      </c>
      <c r="P28"/>
      <c r="Q28" s="3">
        <v>95.249393113192269</v>
      </c>
      <c r="R28"/>
      <c r="S28"/>
      <c r="T28"/>
      <c r="U28"/>
      <c r="V28"/>
      <c r="W28"/>
      <c r="X28"/>
      <c r="Y28"/>
      <c r="Z28"/>
    </row>
    <row r="29" spans="1:26" x14ac:dyDescent="0.25">
      <c r="A29"/>
      <c r="B29" s="2">
        <v>45736.625</v>
      </c>
      <c r="C29" s="1">
        <f t="shared" si="0"/>
        <v>162</v>
      </c>
      <c r="D29" s="1">
        <v>20</v>
      </c>
      <c r="E29" s="1">
        <v>995</v>
      </c>
      <c r="F29"/>
      <c r="G29"/>
      <c r="H29"/>
      <c r="I29"/>
      <c r="J29"/>
      <c r="K29"/>
      <c r="L29"/>
      <c r="M29"/>
      <c r="N29"/>
      <c r="O29"/>
      <c r="P29"/>
      <c r="Q29" s="3"/>
      <c r="R29"/>
      <c r="S29"/>
      <c r="T29"/>
      <c r="U29"/>
      <c r="V29"/>
      <c r="W29"/>
      <c r="X29"/>
      <c r="Y29"/>
      <c r="Z29"/>
    </row>
    <row r="30" spans="1:26" x14ac:dyDescent="0.25">
      <c r="A30"/>
      <c r="B30" s="2">
        <v>45736.875</v>
      </c>
      <c r="C30" s="1">
        <f t="shared" si="0"/>
        <v>168</v>
      </c>
      <c r="D30" s="1">
        <v>18.8</v>
      </c>
      <c r="E30" s="1">
        <v>992</v>
      </c>
      <c r="F30"/>
      <c r="G30"/>
      <c r="H30"/>
      <c r="I30"/>
      <c r="J30"/>
      <c r="K30"/>
      <c r="L30"/>
      <c r="M30"/>
      <c r="N30"/>
      <c r="O30"/>
      <c r="P30"/>
      <c r="Q30" s="3"/>
      <c r="R30"/>
      <c r="S30"/>
      <c r="T30"/>
      <c r="U30"/>
      <c r="V30"/>
      <c r="W30"/>
      <c r="X30"/>
      <c r="Y30"/>
      <c r="Z30"/>
    </row>
    <row r="31" spans="1:26" x14ac:dyDescent="0.25">
      <c r="A31"/>
      <c r="B31" s="2">
        <v>45737.125</v>
      </c>
      <c r="C31" s="1">
        <f t="shared" si="0"/>
        <v>174</v>
      </c>
      <c r="D31" s="1">
        <v>19</v>
      </c>
      <c r="E31" s="1">
        <v>998</v>
      </c>
      <c r="F31"/>
      <c r="G31"/>
      <c r="H31"/>
      <c r="I31"/>
      <c r="J31"/>
      <c r="K31"/>
      <c r="L31"/>
      <c r="M31"/>
      <c r="N31"/>
      <c r="O31"/>
      <c r="P31"/>
      <c r="Q31" s="3"/>
      <c r="R31"/>
      <c r="S31"/>
      <c r="T31"/>
      <c r="U31"/>
      <c r="V31"/>
      <c r="W31"/>
      <c r="X31"/>
      <c r="Y31"/>
      <c r="Z31"/>
    </row>
    <row r="32" spans="1:26" x14ac:dyDescent="0.25">
      <c r="A32" t="s">
        <v>40</v>
      </c>
      <c r="B32" s="2">
        <v>45737.375</v>
      </c>
      <c r="C32" s="1">
        <f t="shared" si="0"/>
        <v>180</v>
      </c>
      <c r="D32" s="1">
        <v>19</v>
      </c>
      <c r="E32" s="1">
        <v>993</v>
      </c>
      <c r="F32">
        <v>58.37</v>
      </c>
      <c r="G32">
        <v>0.21329999999999999</v>
      </c>
      <c r="H32">
        <v>0.02</v>
      </c>
      <c r="I32">
        <v>1.47</v>
      </c>
      <c r="J32">
        <v>15</v>
      </c>
      <c r="K32">
        <v>6</v>
      </c>
      <c r="L32">
        <v>19.920000000000002</v>
      </c>
      <c r="M32">
        <v>5.63</v>
      </c>
      <c r="N32">
        <v>29</v>
      </c>
      <c r="O32">
        <f>N32-$N$2</f>
        <v>5</v>
      </c>
      <c r="P32"/>
      <c r="Q32" s="3">
        <v>96.573599999999999</v>
      </c>
      <c r="R32"/>
      <c r="S32">
        <v>4.1832176666666672E-2</v>
      </c>
      <c r="T32">
        <v>4.6679500083333337E-3</v>
      </c>
      <c r="U32">
        <v>1.6853321383333335E-2</v>
      </c>
      <c r="V32">
        <v>0.37275502074999994</v>
      </c>
      <c r="W32">
        <v>9.6191229378456757</v>
      </c>
      <c r="X32">
        <v>9.5492115374999992E-2</v>
      </c>
      <c r="Y32">
        <v>0.153142216375</v>
      </c>
      <c r="Z32">
        <v>11.189577524203072</v>
      </c>
    </row>
    <row r="33" spans="2:26" customFormat="1" x14ac:dyDescent="0.25">
      <c r="B33" s="2">
        <v>45737.625</v>
      </c>
      <c r="C33" s="1">
        <f t="shared" si="0"/>
        <v>186</v>
      </c>
      <c r="D33" s="1">
        <v>19</v>
      </c>
      <c r="E33" s="1">
        <v>992</v>
      </c>
      <c r="Q33" s="3"/>
    </row>
    <row r="34" spans="2:26" x14ac:dyDescent="0.25">
      <c r="S34"/>
      <c r="T34"/>
      <c r="U34"/>
      <c r="V34"/>
      <c r="W34"/>
      <c r="X34"/>
      <c r="Y34"/>
      <c r="Z34"/>
    </row>
    <row r="35" spans="2:26" x14ac:dyDescent="0.25">
      <c r="S35"/>
      <c r="T35"/>
      <c r="U35"/>
      <c r="V35"/>
      <c r="W35"/>
      <c r="X35"/>
      <c r="Y35"/>
      <c r="Z35"/>
    </row>
    <row r="36" spans="2:26" x14ac:dyDescent="0.25">
      <c r="S36"/>
      <c r="T36"/>
      <c r="U36"/>
      <c r="V36"/>
      <c r="W36"/>
      <c r="X36"/>
      <c r="Y36"/>
      <c r="Z36"/>
    </row>
    <row r="37" spans="2:26" x14ac:dyDescent="0.25">
      <c r="S37"/>
      <c r="T37"/>
      <c r="U37"/>
      <c r="V37"/>
      <c r="W37"/>
      <c r="X37"/>
      <c r="Y37"/>
      <c r="Z37"/>
    </row>
    <row r="38" spans="2:26" x14ac:dyDescent="0.25">
      <c r="S38"/>
      <c r="T38"/>
      <c r="U38"/>
      <c r="V38"/>
      <c r="W38"/>
      <c r="X38"/>
      <c r="Y38"/>
      <c r="Z38"/>
    </row>
    <row r="39" spans="2:26" x14ac:dyDescent="0.25">
      <c r="S39"/>
      <c r="T39"/>
      <c r="U39"/>
      <c r="V39"/>
      <c r="W39"/>
      <c r="X39"/>
      <c r="Y39"/>
      <c r="Z39"/>
    </row>
    <row r="40" spans="2:26" x14ac:dyDescent="0.25">
      <c r="S40"/>
      <c r="T40"/>
      <c r="U40"/>
      <c r="V40"/>
      <c r="W40"/>
      <c r="X40"/>
      <c r="Y40"/>
      <c r="Z40"/>
    </row>
    <row r="41" spans="2:26" x14ac:dyDescent="0.25">
      <c r="S41"/>
      <c r="T41"/>
      <c r="U41"/>
      <c r="V41"/>
      <c r="W41"/>
      <c r="X41"/>
      <c r="Y41"/>
      <c r="Z41"/>
    </row>
    <row r="42" spans="2:26" x14ac:dyDescent="0.25">
      <c r="S42"/>
      <c r="T42"/>
      <c r="U42"/>
      <c r="V42"/>
      <c r="W42"/>
      <c r="X42"/>
      <c r="Y42"/>
      <c r="Z42"/>
    </row>
    <row r="43" spans="2:26" x14ac:dyDescent="0.25">
      <c r="S43"/>
      <c r="T43"/>
      <c r="U43"/>
      <c r="V43"/>
      <c r="W43"/>
      <c r="X43"/>
      <c r="Y43"/>
      <c r="Z43"/>
    </row>
    <row r="44" spans="2:26" x14ac:dyDescent="0.25">
      <c r="S44"/>
      <c r="T44"/>
      <c r="U44"/>
      <c r="V44"/>
      <c r="W44"/>
      <c r="X44"/>
      <c r="Y44"/>
      <c r="Z44"/>
    </row>
    <row r="45" spans="2:26" x14ac:dyDescent="0.25">
      <c r="S45"/>
      <c r="T45"/>
      <c r="U45"/>
      <c r="V45"/>
      <c r="W45"/>
      <c r="X45"/>
      <c r="Y45"/>
      <c r="Z45"/>
    </row>
    <row r="46" spans="2:26" x14ac:dyDescent="0.25">
      <c r="S46"/>
      <c r="T46"/>
      <c r="U46"/>
      <c r="V46"/>
      <c r="W46"/>
      <c r="X46"/>
      <c r="Y46"/>
      <c r="Z46"/>
    </row>
    <row r="47" spans="2:26" x14ac:dyDescent="0.25">
      <c r="S47"/>
      <c r="T47"/>
      <c r="U47"/>
      <c r="V47"/>
      <c r="W47"/>
      <c r="X47"/>
      <c r="Y47"/>
      <c r="Z47"/>
    </row>
    <row r="48" spans="2:26" x14ac:dyDescent="0.25">
      <c r="S48"/>
      <c r="T48"/>
      <c r="U48"/>
      <c r="V48"/>
      <c r="W48"/>
      <c r="X48"/>
      <c r="Y48"/>
      <c r="Z48"/>
    </row>
    <row r="49" spans="19:26" x14ac:dyDescent="0.25">
      <c r="S49"/>
      <c r="T49"/>
      <c r="U49"/>
      <c r="V49"/>
      <c r="W49"/>
      <c r="X49"/>
      <c r="Y49"/>
      <c r="Z49"/>
    </row>
    <row r="50" spans="19:26" x14ac:dyDescent="0.25">
      <c r="S50"/>
      <c r="T50"/>
      <c r="U50"/>
      <c r="V50"/>
      <c r="W50"/>
      <c r="X50"/>
      <c r="Y50"/>
      <c r="Z50"/>
    </row>
    <row r="51" spans="19:26" x14ac:dyDescent="0.25">
      <c r="S51"/>
      <c r="T51"/>
      <c r="U51"/>
      <c r="V51"/>
      <c r="W51"/>
      <c r="X51"/>
      <c r="Y51"/>
      <c r="Z51"/>
    </row>
    <row r="52" spans="19:26" x14ac:dyDescent="0.25">
      <c r="S52"/>
      <c r="T52"/>
      <c r="U52"/>
      <c r="V52"/>
      <c r="W52"/>
      <c r="X52"/>
      <c r="Y52"/>
      <c r="Z52"/>
    </row>
    <row r="53" spans="19:26" x14ac:dyDescent="0.25">
      <c r="S53"/>
      <c r="T53"/>
      <c r="U53"/>
      <c r="V53"/>
      <c r="W53"/>
      <c r="X53"/>
      <c r="Y53"/>
      <c r="Z53"/>
    </row>
    <row r="54" spans="19:26" x14ac:dyDescent="0.25">
      <c r="S54"/>
      <c r="T54"/>
      <c r="U54"/>
      <c r="V54"/>
      <c r="W54"/>
      <c r="X54"/>
      <c r="Y54"/>
      <c r="Z54"/>
    </row>
    <row r="55" spans="19:26" x14ac:dyDescent="0.25">
      <c r="S55"/>
      <c r="T55"/>
      <c r="U55"/>
      <c r="V55"/>
      <c r="W55"/>
      <c r="X55"/>
      <c r="Y55"/>
      <c r="Z55"/>
    </row>
    <row r="56" spans="19:26" x14ac:dyDescent="0.25">
      <c r="S56"/>
      <c r="T56"/>
      <c r="U56"/>
      <c r="V56"/>
      <c r="W56"/>
      <c r="X56"/>
      <c r="Y56"/>
      <c r="Z56"/>
    </row>
    <row r="57" spans="19:26" x14ac:dyDescent="0.25">
      <c r="S57"/>
      <c r="T57"/>
      <c r="U57"/>
      <c r="V57"/>
      <c r="W57"/>
      <c r="X57"/>
      <c r="Y57"/>
      <c r="Z57"/>
    </row>
    <row r="58" spans="19:26" x14ac:dyDescent="0.25">
      <c r="S58"/>
      <c r="T58"/>
      <c r="U58"/>
      <c r="V58"/>
      <c r="W58"/>
      <c r="X58"/>
      <c r="Y58"/>
      <c r="Z58"/>
    </row>
    <row r="59" spans="19:26" x14ac:dyDescent="0.25">
      <c r="S59"/>
      <c r="T59"/>
      <c r="U59"/>
      <c r="V59"/>
      <c r="W59"/>
      <c r="X59"/>
      <c r="Y59"/>
      <c r="Z59"/>
    </row>
    <row r="60" spans="19:26" x14ac:dyDescent="0.25">
      <c r="S60"/>
      <c r="T60"/>
      <c r="U60"/>
      <c r="V60"/>
      <c r="W60"/>
      <c r="X60"/>
      <c r="Y60"/>
      <c r="Z60"/>
    </row>
    <row r="61" spans="19:26" x14ac:dyDescent="0.25">
      <c r="S61"/>
      <c r="T61"/>
      <c r="U61"/>
      <c r="V61"/>
      <c r="W61"/>
      <c r="X61"/>
      <c r="Y61"/>
      <c r="Z61"/>
    </row>
    <row r="62" spans="19:26" x14ac:dyDescent="0.25">
      <c r="S62"/>
      <c r="T62"/>
      <c r="U62"/>
      <c r="V62"/>
      <c r="W62"/>
      <c r="X62"/>
      <c r="Y62"/>
      <c r="Z62"/>
    </row>
    <row r="63" spans="19:26" x14ac:dyDescent="0.25">
      <c r="S63"/>
      <c r="T63"/>
      <c r="U63"/>
      <c r="V63"/>
      <c r="W63"/>
      <c r="X63"/>
      <c r="Y63"/>
      <c r="Z63"/>
    </row>
    <row r="64" spans="19:26" x14ac:dyDescent="0.25">
      <c r="S64"/>
      <c r="T64"/>
      <c r="U64"/>
      <c r="V64"/>
      <c r="W64"/>
      <c r="X64"/>
      <c r="Y64"/>
      <c r="Z64"/>
    </row>
    <row r="65" spans="19:26" x14ac:dyDescent="0.25">
      <c r="S65"/>
      <c r="T65"/>
      <c r="U65"/>
      <c r="V65"/>
      <c r="W65"/>
      <c r="X65"/>
      <c r="Y65"/>
      <c r="Z6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5"/>
  <sheetViews>
    <sheetView zoomScale="85" zoomScaleNormal="85" workbookViewId="0">
      <selection activeCell="P10" sqref="P10"/>
    </sheetView>
  </sheetViews>
  <sheetFormatPr baseColWidth="10" defaultColWidth="9.140625" defaultRowHeight="15" x14ac:dyDescent="0.25"/>
  <cols>
    <col min="1" max="1" width="24.42578125" style="1" customWidth="1"/>
    <col min="2" max="2" width="20.5703125" style="2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2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</row>
    <row r="2" spans="1:25" x14ac:dyDescent="0.25">
      <c r="A2" t="s">
        <v>41</v>
      </c>
      <c r="B2" s="2">
        <v>45742.375</v>
      </c>
      <c r="C2" s="1">
        <v>0</v>
      </c>
      <c r="D2" s="1">
        <v>18</v>
      </c>
      <c r="E2" s="1">
        <v>1061</v>
      </c>
      <c r="F2">
        <v>14.98</v>
      </c>
      <c r="G2">
        <v>0.1206</v>
      </c>
      <c r="H2">
        <v>46.05</v>
      </c>
      <c r="I2">
        <v>54.34</v>
      </c>
      <c r="J2">
        <v>63</v>
      </c>
      <c r="K2">
        <v>37</v>
      </c>
      <c r="L2">
        <v>93.34</v>
      </c>
      <c r="M2">
        <v>3.16</v>
      </c>
      <c r="N2">
        <v>29</v>
      </c>
      <c r="O2">
        <v>129</v>
      </c>
      <c r="P2" s="3">
        <v>9.7917898641829328</v>
      </c>
      <c r="Q2">
        <v>48</v>
      </c>
      <c r="R2">
        <v>3.2584973037499999E-2</v>
      </c>
      <c r="S2">
        <v>1.4069406158333335E-3</v>
      </c>
      <c r="T2">
        <v>1.6313272954166665E-3</v>
      </c>
      <c r="U2">
        <v>5.9605750291666669E-2</v>
      </c>
      <c r="V2">
        <v>0.90601527672890803</v>
      </c>
      <c r="W2">
        <v>1.7941041604166666E-2</v>
      </c>
      <c r="X2">
        <v>1.4898908299999998E-2</v>
      </c>
      <c r="Y2">
        <v>2.0633398259379003</v>
      </c>
    </row>
    <row r="3" spans="1:25" x14ac:dyDescent="0.25">
      <c r="A3" t="s">
        <v>42</v>
      </c>
      <c r="B3" s="2">
        <v>45742.875</v>
      </c>
      <c r="C3" s="1">
        <v>12</v>
      </c>
      <c r="D3" s="1">
        <v>19</v>
      </c>
      <c r="E3" s="1">
        <v>1061</v>
      </c>
      <c r="F3">
        <v>21.2</v>
      </c>
      <c r="G3">
        <v>2.41E-2</v>
      </c>
      <c r="H3">
        <v>44.57</v>
      </c>
      <c r="I3">
        <v>54.470000000000006</v>
      </c>
      <c r="J3">
        <v>55</v>
      </c>
      <c r="K3">
        <v>24</v>
      </c>
      <c r="L3">
        <v>74.680000000000007</v>
      </c>
      <c r="M3">
        <v>2.44</v>
      </c>
      <c r="N3">
        <v>40</v>
      </c>
      <c r="O3">
        <v>169</v>
      </c>
      <c r="P3" s="3">
        <v>11.748772875274364</v>
      </c>
      <c r="Q3"/>
      <c r="R3"/>
      <c r="S3"/>
      <c r="T3"/>
      <c r="U3"/>
      <c r="V3"/>
      <c r="W3"/>
      <c r="X3"/>
      <c r="Y3"/>
    </row>
    <row r="4" spans="1:25" x14ac:dyDescent="0.25">
      <c r="A4"/>
      <c r="B4" s="2">
        <v>45743.125</v>
      </c>
      <c r="C4" s="1">
        <f t="shared" ref="C4:C36" si="0">(B4-B3)*24+C3</f>
        <v>18</v>
      </c>
      <c r="D4" s="1">
        <v>18.2</v>
      </c>
      <c r="E4" s="1">
        <v>1056</v>
      </c>
      <c r="F4"/>
      <c r="G4"/>
      <c r="H4"/>
      <c r="I4"/>
      <c r="J4"/>
      <c r="K4"/>
      <c r="L4"/>
      <c r="M4"/>
      <c r="N4"/>
      <c r="O4"/>
      <c r="P4" s="3"/>
      <c r="Q4"/>
      <c r="R4"/>
      <c r="S4"/>
      <c r="T4"/>
      <c r="U4"/>
      <c r="V4"/>
      <c r="W4"/>
      <c r="X4"/>
      <c r="Y4"/>
    </row>
    <row r="5" spans="1:25" x14ac:dyDescent="0.25">
      <c r="A5" t="s">
        <v>43</v>
      </c>
      <c r="B5" s="2">
        <v>45743.375</v>
      </c>
      <c r="C5" s="1">
        <f t="shared" si="0"/>
        <v>24</v>
      </c>
      <c r="D5" s="1">
        <v>17.5</v>
      </c>
      <c r="E5" s="1">
        <v>1053</v>
      </c>
      <c r="F5">
        <v>19.59</v>
      </c>
      <c r="G5">
        <v>5.79E-2</v>
      </c>
      <c r="H5">
        <v>48.57</v>
      </c>
      <c r="I5">
        <v>62.6</v>
      </c>
      <c r="J5">
        <v>35</v>
      </c>
      <c r="K5">
        <v>1</v>
      </c>
      <c r="L5">
        <v>35.82</v>
      </c>
      <c r="M5">
        <v>3.21</v>
      </c>
      <c r="N5">
        <v>60</v>
      </c>
      <c r="O5">
        <v>164</v>
      </c>
      <c r="P5" s="3">
        <v>19.134521088617145</v>
      </c>
      <c r="Q5" s="1">
        <v>100</v>
      </c>
      <c r="R5"/>
      <c r="S5"/>
      <c r="T5"/>
      <c r="U5"/>
      <c r="V5"/>
      <c r="W5"/>
      <c r="X5"/>
      <c r="Y5"/>
    </row>
    <row r="6" spans="1:25" x14ac:dyDescent="0.25">
      <c r="A6" t="s">
        <v>44</v>
      </c>
      <c r="B6" s="2">
        <v>45743.625</v>
      </c>
      <c r="C6" s="1">
        <f t="shared" si="0"/>
        <v>30</v>
      </c>
      <c r="D6" s="1">
        <v>19</v>
      </c>
      <c r="E6" s="1">
        <v>1049</v>
      </c>
      <c r="F6">
        <v>24.04</v>
      </c>
      <c r="G6">
        <v>7.9100000000000004E-2</v>
      </c>
      <c r="H6">
        <v>44.62</v>
      </c>
      <c r="I6">
        <v>59.98</v>
      </c>
      <c r="J6">
        <v>27</v>
      </c>
      <c r="K6">
        <v>1</v>
      </c>
      <c r="L6">
        <v>27.82</v>
      </c>
      <c r="M6">
        <v>3.26</v>
      </c>
      <c r="N6">
        <v>62</v>
      </c>
      <c r="O6">
        <v>196</v>
      </c>
      <c r="P6" s="3">
        <v>22.855534038968539</v>
      </c>
      <c r="Q6"/>
      <c r="R6"/>
      <c r="S6"/>
      <c r="T6"/>
      <c r="U6"/>
      <c r="V6"/>
      <c r="W6"/>
      <c r="X6"/>
      <c r="Y6"/>
    </row>
    <row r="7" spans="1:25" x14ac:dyDescent="0.25">
      <c r="A7"/>
      <c r="B7" s="2">
        <v>45743.875</v>
      </c>
      <c r="C7" s="1">
        <f t="shared" si="0"/>
        <v>36</v>
      </c>
      <c r="D7" s="1">
        <v>18.100000000000001</v>
      </c>
      <c r="E7" s="1">
        <v>1050</v>
      </c>
      <c r="F7"/>
      <c r="G7"/>
      <c r="H7"/>
      <c r="I7"/>
      <c r="J7"/>
      <c r="K7"/>
      <c r="L7"/>
      <c r="M7"/>
      <c r="N7"/>
      <c r="O7"/>
      <c r="P7" s="3"/>
      <c r="Q7"/>
      <c r="R7"/>
      <c r="S7"/>
      <c r="T7"/>
      <c r="U7"/>
      <c r="V7"/>
      <c r="W7"/>
      <c r="X7"/>
      <c r="Y7"/>
    </row>
    <row r="8" spans="1:25" x14ac:dyDescent="0.25">
      <c r="A8"/>
      <c r="B8" s="2">
        <v>45744.125</v>
      </c>
      <c r="C8" s="1">
        <f t="shared" si="0"/>
        <v>42</v>
      </c>
      <c r="D8" s="1">
        <v>18.3</v>
      </c>
      <c r="E8" s="1">
        <v>1044</v>
      </c>
      <c r="F8"/>
      <c r="G8"/>
      <c r="H8"/>
      <c r="I8"/>
      <c r="J8"/>
      <c r="K8"/>
      <c r="L8"/>
      <c r="M8"/>
      <c r="N8"/>
      <c r="O8"/>
      <c r="P8" s="3"/>
      <c r="Q8"/>
      <c r="R8"/>
      <c r="S8"/>
      <c r="T8"/>
      <c r="U8"/>
      <c r="V8"/>
      <c r="W8"/>
      <c r="X8"/>
      <c r="Y8"/>
    </row>
    <row r="9" spans="1:25" x14ac:dyDescent="0.25">
      <c r="A9" t="s">
        <v>45</v>
      </c>
      <c r="B9" s="2">
        <v>45744.375</v>
      </c>
      <c r="C9" s="1">
        <f t="shared" si="0"/>
        <v>48</v>
      </c>
      <c r="D9" s="1">
        <v>18.7</v>
      </c>
      <c r="E9" s="1">
        <v>1039</v>
      </c>
      <c r="F9">
        <v>46.24</v>
      </c>
      <c r="G9">
        <v>0.13039999999999999</v>
      </c>
      <c r="H9">
        <v>32.01</v>
      </c>
      <c r="I9">
        <v>55.52</v>
      </c>
      <c r="J9">
        <v>20</v>
      </c>
      <c r="K9">
        <v>5</v>
      </c>
      <c r="L9">
        <v>24.1</v>
      </c>
      <c r="M9">
        <v>4.41</v>
      </c>
      <c r="N9">
        <v>70</v>
      </c>
      <c r="O9">
        <v>211</v>
      </c>
      <c r="P9" s="3">
        <v>37.930786857637344</v>
      </c>
      <c r="Q9"/>
      <c r="R9">
        <v>3.9238539599999997E-2</v>
      </c>
      <c r="S9">
        <v>3.1535897129166667E-3</v>
      </c>
      <c r="T9">
        <v>0</v>
      </c>
      <c r="U9">
        <v>0.11313055666666667</v>
      </c>
      <c r="V9">
        <v>2.4504655245420879</v>
      </c>
      <c r="W9">
        <v>1.7451681887500001E-2</v>
      </c>
      <c r="X9">
        <v>7.2609511458333331E-2</v>
      </c>
      <c r="Y9">
        <v>4.6376966139700251</v>
      </c>
    </row>
    <row r="10" spans="1:25" x14ac:dyDescent="0.25">
      <c r="A10" t="s">
        <v>46</v>
      </c>
      <c r="B10" s="2">
        <v>45744.625</v>
      </c>
      <c r="C10" s="1">
        <f t="shared" si="0"/>
        <v>54</v>
      </c>
      <c r="D10" s="1">
        <v>18.7</v>
      </c>
      <c r="E10"/>
      <c r="F10">
        <v>74.349999999999994</v>
      </c>
      <c r="G10">
        <v>0.23</v>
      </c>
      <c r="H10">
        <v>28.98</v>
      </c>
      <c r="I10">
        <v>54.61</v>
      </c>
      <c r="J10">
        <v>16</v>
      </c>
      <c r="K10">
        <v>5</v>
      </c>
      <c r="L10">
        <v>20.100000000000001</v>
      </c>
      <c r="M10">
        <v>5</v>
      </c>
      <c r="N10">
        <v>78</v>
      </c>
      <c r="O10">
        <v>205</v>
      </c>
      <c r="P10" s="3">
        <v>43.025014616796071</v>
      </c>
      <c r="Q10"/>
      <c r="R10"/>
      <c r="S10"/>
      <c r="T10"/>
      <c r="U10"/>
      <c r="V10"/>
      <c r="W10"/>
      <c r="X10"/>
      <c r="Y10"/>
    </row>
    <row r="11" spans="1:25" x14ac:dyDescent="0.25">
      <c r="A11"/>
      <c r="B11" s="2">
        <v>45744.875</v>
      </c>
      <c r="C11" s="1">
        <f t="shared" si="0"/>
        <v>60</v>
      </c>
      <c r="D11" s="1">
        <v>18</v>
      </c>
      <c r="E11" s="1">
        <v>1032</v>
      </c>
      <c r="F11"/>
      <c r="G11"/>
      <c r="H11"/>
      <c r="I11"/>
      <c r="J11"/>
      <c r="K11"/>
      <c r="L11"/>
      <c r="M11"/>
      <c r="N11"/>
      <c r="O11"/>
      <c r="P11" s="3"/>
      <c r="Q11"/>
      <c r="R11"/>
      <c r="S11"/>
      <c r="T11"/>
      <c r="U11"/>
      <c r="V11"/>
      <c r="W11"/>
      <c r="X11"/>
      <c r="Y11"/>
    </row>
    <row r="12" spans="1:25" x14ac:dyDescent="0.25">
      <c r="A12"/>
      <c r="B12" s="2">
        <v>45745.125</v>
      </c>
      <c r="C12" s="1">
        <f t="shared" si="0"/>
        <v>66</v>
      </c>
      <c r="D12" s="1">
        <v>17.5</v>
      </c>
      <c r="E12" s="1">
        <v>1030</v>
      </c>
      <c r="F12"/>
      <c r="G12"/>
      <c r="H12"/>
      <c r="I12"/>
      <c r="J12"/>
      <c r="K12"/>
      <c r="L12"/>
      <c r="M12"/>
      <c r="N12"/>
      <c r="O12"/>
      <c r="P12" s="3"/>
      <c r="Q12"/>
      <c r="R12"/>
      <c r="S12"/>
      <c r="T12"/>
      <c r="U12"/>
      <c r="V12"/>
      <c r="W12"/>
      <c r="X12"/>
      <c r="Y12"/>
    </row>
    <row r="13" spans="1:25" x14ac:dyDescent="0.25">
      <c r="A13" t="s">
        <v>47</v>
      </c>
      <c r="B13" s="2">
        <v>45745.375</v>
      </c>
      <c r="C13" s="1">
        <f t="shared" si="0"/>
        <v>72</v>
      </c>
      <c r="D13" s="1">
        <v>18</v>
      </c>
      <c r="E13" s="1">
        <v>1025</v>
      </c>
      <c r="F13">
        <v>65.510000000000005</v>
      </c>
      <c r="G13">
        <v>0.21779999999999999</v>
      </c>
      <c r="H13">
        <v>20</v>
      </c>
      <c r="I13">
        <v>39.979999999999997</v>
      </c>
      <c r="J13">
        <v>10</v>
      </c>
      <c r="K13">
        <v>0</v>
      </c>
      <c r="L13">
        <v>10</v>
      </c>
      <c r="M13">
        <v>5.7</v>
      </c>
      <c r="N13">
        <v>68</v>
      </c>
      <c r="O13">
        <v>192</v>
      </c>
      <c r="P13" s="3">
        <v>56.17539861811629</v>
      </c>
      <c r="Q13"/>
      <c r="R13">
        <v>3.5805890512500001E-2</v>
      </c>
      <c r="S13">
        <v>4.8026971000000003E-3</v>
      </c>
      <c r="T13">
        <v>0</v>
      </c>
      <c r="U13">
        <v>0.15864702024999999</v>
      </c>
      <c r="V13">
        <v>4.9996698107685775</v>
      </c>
      <c r="W13">
        <v>2.9336281966666666E-2</v>
      </c>
      <c r="X13">
        <v>0.10551641258333334</v>
      </c>
      <c r="Y13">
        <v>6.3499605379371689</v>
      </c>
    </row>
    <row r="14" spans="1:25" x14ac:dyDescent="0.25">
      <c r="A14"/>
      <c r="B14" s="2">
        <v>45745.625</v>
      </c>
      <c r="C14" s="1">
        <f t="shared" si="0"/>
        <v>78</v>
      </c>
      <c r="D14" s="1">
        <v>17.5</v>
      </c>
      <c r="E14" s="1">
        <v>1024</v>
      </c>
      <c r="F14"/>
      <c r="G14"/>
      <c r="H14"/>
      <c r="I14"/>
      <c r="J14"/>
      <c r="K14"/>
      <c r="L14"/>
      <c r="M14"/>
      <c r="N14"/>
      <c r="O14"/>
      <c r="P14" s="3"/>
      <c r="Q14"/>
      <c r="R14"/>
      <c r="S14"/>
      <c r="T14"/>
      <c r="U14"/>
      <c r="V14"/>
      <c r="W14"/>
      <c r="X14"/>
      <c r="Y14"/>
    </row>
    <row r="15" spans="1:25" x14ac:dyDescent="0.25">
      <c r="A15"/>
      <c r="B15" s="2">
        <v>45745.875</v>
      </c>
      <c r="C15" s="1">
        <f t="shared" si="0"/>
        <v>84</v>
      </c>
      <c r="D15" s="1">
        <v>18.399999999999999</v>
      </c>
      <c r="E15" s="1">
        <v>1028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25" x14ac:dyDescent="0.25">
      <c r="A16"/>
      <c r="B16" s="2">
        <v>45746.125</v>
      </c>
      <c r="C16" s="1">
        <f t="shared" si="0"/>
        <v>90</v>
      </c>
      <c r="D16" s="1">
        <v>19.100000000000001</v>
      </c>
      <c r="E16" s="1">
        <v>1019</v>
      </c>
      <c r="F16"/>
      <c r="G16"/>
      <c r="H16"/>
      <c r="I16"/>
      <c r="J16"/>
      <c r="K16"/>
      <c r="L16"/>
      <c r="M16"/>
      <c r="N16"/>
      <c r="O16"/>
      <c r="P16" s="3"/>
      <c r="Q16"/>
      <c r="R16"/>
      <c r="S16"/>
      <c r="T16"/>
      <c r="U16"/>
      <c r="V16"/>
      <c r="W16"/>
      <c r="X16"/>
      <c r="Y16"/>
    </row>
    <row r="17" spans="1:25" x14ac:dyDescent="0.25">
      <c r="A17"/>
      <c r="B17" s="2">
        <v>45746.375</v>
      </c>
      <c r="C17" s="1">
        <f t="shared" si="0"/>
        <v>96</v>
      </c>
      <c r="D17" s="1">
        <v>18.7</v>
      </c>
      <c r="E17" s="1">
        <v>1015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</row>
    <row r="18" spans="1:25" x14ac:dyDescent="0.25">
      <c r="A18" t="s">
        <v>48</v>
      </c>
      <c r="B18" s="2">
        <v>45746.625</v>
      </c>
      <c r="C18" s="1">
        <f t="shared" si="0"/>
        <v>102</v>
      </c>
      <c r="D18" s="1">
        <v>18.600000000000001</v>
      </c>
      <c r="E18" s="1">
        <v>1013</v>
      </c>
      <c r="F18">
        <v>72.81</v>
      </c>
      <c r="G18">
        <v>0.30349999999999999</v>
      </c>
      <c r="H18">
        <v>9.69</v>
      </c>
      <c r="I18">
        <v>25.83</v>
      </c>
      <c r="J18">
        <v>10</v>
      </c>
      <c r="K18">
        <v>0</v>
      </c>
      <c r="L18">
        <v>10</v>
      </c>
      <c r="M18">
        <v>6.17</v>
      </c>
      <c r="N18">
        <v>55</v>
      </c>
      <c r="O18">
        <v>176</v>
      </c>
      <c r="P18" s="3">
        <v>72.744894392319026</v>
      </c>
      <c r="Q18"/>
      <c r="R18"/>
      <c r="S18"/>
      <c r="T18"/>
      <c r="U18"/>
      <c r="V18"/>
      <c r="W18"/>
      <c r="X18"/>
      <c r="Y18"/>
    </row>
    <row r="19" spans="1:25" x14ac:dyDescent="0.25">
      <c r="A19"/>
      <c r="B19" s="2">
        <v>45746.875</v>
      </c>
      <c r="C19" s="1">
        <f t="shared" si="0"/>
        <v>108</v>
      </c>
      <c r="D19" s="1">
        <v>18.399999999999999</v>
      </c>
      <c r="E19" s="1">
        <v>1012</v>
      </c>
      <c r="F19"/>
      <c r="G19"/>
      <c r="H19"/>
      <c r="I19"/>
      <c r="J19"/>
      <c r="K19"/>
      <c r="L19"/>
      <c r="M19"/>
      <c r="N19"/>
      <c r="O19"/>
      <c r="P19" s="3"/>
      <c r="Q19"/>
      <c r="R19"/>
      <c r="S19"/>
      <c r="T19"/>
      <c r="U19"/>
      <c r="V19"/>
      <c r="W19"/>
      <c r="X19"/>
      <c r="Y19"/>
    </row>
    <row r="20" spans="1:25" x14ac:dyDescent="0.25">
      <c r="A20"/>
      <c r="B20" s="2">
        <v>45747.125</v>
      </c>
      <c r="C20" s="1">
        <f t="shared" si="0"/>
        <v>114</v>
      </c>
      <c r="D20" s="1">
        <v>19</v>
      </c>
      <c r="E20" s="1">
        <v>1011</v>
      </c>
      <c r="F20"/>
      <c r="G20"/>
      <c r="H20"/>
      <c r="I20"/>
      <c r="J20"/>
      <c r="K20"/>
      <c r="L20"/>
      <c r="M20"/>
      <c r="N20"/>
      <c r="O20"/>
      <c r="P20" s="3"/>
      <c r="Q20"/>
      <c r="R20"/>
      <c r="S20"/>
      <c r="T20"/>
      <c r="U20"/>
      <c r="V20"/>
      <c r="W20"/>
      <c r="X20"/>
      <c r="Y20"/>
    </row>
    <row r="21" spans="1:25" x14ac:dyDescent="0.25">
      <c r="A21" t="s">
        <v>49</v>
      </c>
      <c r="B21" s="2">
        <v>45747.375</v>
      </c>
      <c r="C21" s="1">
        <f t="shared" si="0"/>
        <v>120</v>
      </c>
      <c r="D21" s="1">
        <v>18.2</v>
      </c>
      <c r="E21" s="1">
        <v>1008</v>
      </c>
      <c r="F21">
        <v>50</v>
      </c>
      <c r="G21">
        <v>0.1893</v>
      </c>
      <c r="H21">
        <v>3.89</v>
      </c>
      <c r="I21">
        <v>25.93</v>
      </c>
      <c r="J21">
        <v>11</v>
      </c>
      <c r="K21">
        <v>1</v>
      </c>
      <c r="L21">
        <v>11.82</v>
      </c>
      <c r="M21">
        <v>6.33</v>
      </c>
      <c r="N21">
        <v>61</v>
      </c>
      <c r="O21">
        <v>177</v>
      </c>
      <c r="P21" s="3">
        <v>79.019672839269546</v>
      </c>
      <c r="Q21"/>
      <c r="R21"/>
      <c r="S21"/>
      <c r="T21"/>
      <c r="U21"/>
      <c r="V21"/>
      <c r="W21"/>
      <c r="X21"/>
      <c r="Y21"/>
    </row>
    <row r="22" spans="1:25" x14ac:dyDescent="0.25">
      <c r="A22" t="s">
        <v>50</v>
      </c>
      <c r="B22" s="2">
        <v>45747.625</v>
      </c>
      <c r="C22" s="1">
        <f t="shared" si="0"/>
        <v>126</v>
      </c>
      <c r="D22" s="1">
        <v>18.5</v>
      </c>
      <c r="E22" s="1">
        <v>1008</v>
      </c>
      <c r="F22">
        <v>53</v>
      </c>
      <c r="G22">
        <v>0.17030000000000001</v>
      </c>
      <c r="H22">
        <v>5.59</v>
      </c>
      <c r="I22">
        <v>20.52</v>
      </c>
      <c r="J22">
        <v>10</v>
      </c>
      <c r="K22">
        <v>4</v>
      </c>
      <c r="L22">
        <v>13.28</v>
      </c>
      <c r="M22">
        <v>6.42</v>
      </c>
      <c r="N22">
        <v>61</v>
      </c>
      <c r="O22">
        <v>178</v>
      </c>
      <c r="P22" s="3">
        <v>81.436532290802404</v>
      </c>
      <c r="Q22"/>
      <c r="R22">
        <v>3.7935303895833335E-2</v>
      </c>
      <c r="S22">
        <v>4.1116113037500002E-3</v>
      </c>
      <c r="T22">
        <v>5.6867894375000009E-3</v>
      </c>
      <c r="U22">
        <v>0.16440684658333332</v>
      </c>
      <c r="V22">
        <v>5.3338768859513381</v>
      </c>
      <c r="W22">
        <v>4.7606629958333327E-2</v>
      </c>
      <c r="X22">
        <v>9.3825392333333341E-2</v>
      </c>
      <c r="Y22">
        <v>9.1780853897777845</v>
      </c>
    </row>
    <row r="23" spans="1:25" x14ac:dyDescent="0.25">
      <c r="A23"/>
      <c r="B23" s="2">
        <v>45747.875</v>
      </c>
      <c r="C23" s="1">
        <f t="shared" si="0"/>
        <v>132</v>
      </c>
      <c r="D23" s="1">
        <v>18.100000000000001</v>
      </c>
      <c r="E23" s="1">
        <v>1005</v>
      </c>
      <c r="F23"/>
      <c r="G23"/>
      <c r="H23"/>
      <c r="I23"/>
      <c r="J23"/>
      <c r="K23"/>
      <c r="L23"/>
      <c r="M23"/>
      <c r="N23"/>
      <c r="O23"/>
      <c r="P23" s="3"/>
      <c r="Q23"/>
      <c r="R23"/>
      <c r="S23"/>
      <c r="T23"/>
      <c r="U23"/>
      <c r="V23"/>
      <c r="W23"/>
      <c r="X23"/>
      <c r="Y23"/>
    </row>
    <row r="24" spans="1:25" x14ac:dyDescent="0.25">
      <c r="A24"/>
      <c r="B24" s="2">
        <v>45748.125</v>
      </c>
      <c r="C24" s="1">
        <f t="shared" si="0"/>
        <v>138</v>
      </c>
      <c r="D24" s="1">
        <v>18</v>
      </c>
      <c r="E24" s="1">
        <v>1005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</row>
    <row r="25" spans="1:25" x14ac:dyDescent="0.25">
      <c r="A25" t="s">
        <v>51</v>
      </c>
      <c r="B25" s="2">
        <v>45748.375</v>
      </c>
      <c r="C25" s="1">
        <f t="shared" si="0"/>
        <v>144</v>
      </c>
      <c r="D25" s="1">
        <v>18.3</v>
      </c>
      <c r="E25" s="1">
        <v>1004</v>
      </c>
      <c r="F25">
        <v>51.54</v>
      </c>
      <c r="G25">
        <v>0.1149</v>
      </c>
      <c r="H25">
        <v>1.29</v>
      </c>
      <c r="I25">
        <v>19.149999999999999</v>
      </c>
      <c r="J25">
        <v>11</v>
      </c>
      <c r="K25">
        <v>5</v>
      </c>
      <c r="L25">
        <v>15.1</v>
      </c>
      <c r="M25">
        <v>6.45</v>
      </c>
      <c r="N25">
        <v>46</v>
      </c>
      <c r="O25">
        <v>180</v>
      </c>
      <c r="P25" s="3">
        <v>84.13092680504181</v>
      </c>
      <c r="Q25"/>
      <c r="R25"/>
      <c r="S25"/>
      <c r="T25"/>
      <c r="U25"/>
      <c r="V25"/>
      <c r="W25"/>
      <c r="X25"/>
      <c r="Y25"/>
    </row>
    <row r="26" spans="1:25" x14ac:dyDescent="0.25">
      <c r="A26" t="s">
        <v>52</v>
      </c>
      <c r="B26" s="2">
        <v>45748.625</v>
      </c>
      <c r="C26" s="1">
        <f t="shared" si="0"/>
        <v>150</v>
      </c>
      <c r="D26" s="1">
        <v>18.7</v>
      </c>
      <c r="E26" s="1">
        <v>1003</v>
      </c>
      <c r="F26">
        <v>43.09</v>
      </c>
      <c r="G26">
        <v>0.29620000000000002</v>
      </c>
      <c r="H26">
        <v>1.47</v>
      </c>
      <c r="I26">
        <v>17.07</v>
      </c>
      <c r="J26">
        <v>11</v>
      </c>
      <c r="K26">
        <v>3</v>
      </c>
      <c r="L26">
        <v>13.46</v>
      </c>
      <c r="M26">
        <v>6.52</v>
      </c>
      <c r="N26">
        <v>53</v>
      </c>
      <c r="O26">
        <v>184</v>
      </c>
      <c r="P26" s="3">
        <v>86.834834168077549</v>
      </c>
      <c r="Q26"/>
      <c r="R26"/>
      <c r="S26"/>
      <c r="T26"/>
      <c r="U26"/>
      <c r="V26"/>
      <c r="W26"/>
      <c r="X26"/>
      <c r="Y26"/>
    </row>
    <row r="27" spans="1:25" x14ac:dyDescent="0.25">
      <c r="A27"/>
      <c r="B27" s="2">
        <v>45748.875</v>
      </c>
      <c r="C27" s="1">
        <f t="shared" si="0"/>
        <v>156</v>
      </c>
      <c r="D27" s="1">
        <v>18.7</v>
      </c>
      <c r="E27" s="1">
        <v>1001</v>
      </c>
      <c r="F27"/>
      <c r="G27"/>
      <c r="H27"/>
      <c r="I27"/>
      <c r="J27"/>
      <c r="K27"/>
      <c r="L27"/>
      <c r="M27"/>
      <c r="N27"/>
      <c r="O27"/>
      <c r="P27" s="3"/>
      <c r="Q27"/>
      <c r="R27"/>
      <c r="S27"/>
      <c r="T27"/>
      <c r="U27"/>
      <c r="V27"/>
      <c r="W27"/>
      <c r="X27"/>
      <c r="Y27"/>
    </row>
    <row r="28" spans="1:25" x14ac:dyDescent="0.25">
      <c r="A28" t="s">
        <v>53</v>
      </c>
      <c r="B28" s="2">
        <v>45749.375</v>
      </c>
      <c r="C28" s="1">
        <f t="shared" si="0"/>
        <v>168</v>
      </c>
      <c r="D28" s="1">
        <v>17.100000000000001</v>
      </c>
      <c r="E28" s="1">
        <v>1001</v>
      </c>
      <c r="F28">
        <v>53.95</v>
      </c>
      <c r="G28">
        <v>0.23330000000000001</v>
      </c>
      <c r="H28">
        <v>1.45</v>
      </c>
      <c r="I28">
        <v>9.1300000000000008</v>
      </c>
      <c r="J28">
        <v>10</v>
      </c>
      <c r="K28">
        <v>5</v>
      </c>
      <c r="L28">
        <v>14.1</v>
      </c>
      <c r="M28">
        <v>6.69</v>
      </c>
      <c r="N28">
        <v>50</v>
      </c>
      <c r="O28">
        <v>174</v>
      </c>
      <c r="P28" s="3">
        <v>88.054708257887071</v>
      </c>
      <c r="Q28"/>
      <c r="R28"/>
      <c r="S28"/>
      <c r="T28"/>
      <c r="U28"/>
      <c r="V28"/>
      <c r="W28"/>
      <c r="X28"/>
      <c r="Y28"/>
    </row>
    <row r="29" spans="1:25" x14ac:dyDescent="0.25">
      <c r="A29" t="s">
        <v>54</v>
      </c>
      <c r="B29" s="2">
        <v>45749.625</v>
      </c>
      <c r="C29" s="1">
        <f t="shared" si="0"/>
        <v>174</v>
      </c>
      <c r="D29" s="1">
        <v>18</v>
      </c>
      <c r="E29" s="1">
        <v>1000</v>
      </c>
      <c r="F29">
        <v>34.56</v>
      </c>
      <c r="G29">
        <v>0.19800000000000001</v>
      </c>
      <c r="H29">
        <v>1.41</v>
      </c>
      <c r="I29">
        <v>7.61</v>
      </c>
      <c r="J29">
        <v>10</v>
      </c>
      <c r="K29">
        <v>7</v>
      </c>
      <c r="L29">
        <v>15.739999999999998</v>
      </c>
      <c r="M29">
        <v>6.31</v>
      </c>
      <c r="N29">
        <v>49</v>
      </c>
      <c r="O29">
        <v>177</v>
      </c>
      <c r="P29" s="3">
        <v>91.862296072214875</v>
      </c>
      <c r="Q29"/>
      <c r="R29"/>
      <c r="S29"/>
      <c r="T29"/>
      <c r="U29"/>
      <c r="V29"/>
      <c r="W29"/>
      <c r="X29"/>
      <c r="Y29"/>
    </row>
    <row r="30" spans="1:25" x14ac:dyDescent="0.25">
      <c r="A30"/>
      <c r="B30" s="2">
        <v>45749.875</v>
      </c>
      <c r="C30" s="1">
        <f t="shared" si="0"/>
        <v>180</v>
      </c>
      <c r="D30" s="1">
        <v>18.3</v>
      </c>
      <c r="E30" s="1">
        <v>999</v>
      </c>
      <c r="F30"/>
      <c r="G30"/>
      <c r="H30"/>
      <c r="I30"/>
      <c r="J30"/>
      <c r="K30"/>
      <c r="L30"/>
      <c r="M30"/>
      <c r="N30"/>
      <c r="O30"/>
      <c r="P30" s="3"/>
      <c r="Q30"/>
      <c r="R30"/>
      <c r="S30"/>
      <c r="T30"/>
      <c r="U30"/>
      <c r="V30"/>
      <c r="W30"/>
      <c r="X30"/>
      <c r="Y30"/>
    </row>
    <row r="31" spans="1:25" x14ac:dyDescent="0.25">
      <c r="A31"/>
      <c r="B31" s="2">
        <v>45750.125</v>
      </c>
      <c r="C31" s="1">
        <f t="shared" si="0"/>
        <v>186</v>
      </c>
      <c r="D31" s="1">
        <v>18</v>
      </c>
      <c r="E31" s="1">
        <v>998</v>
      </c>
      <c r="F31"/>
      <c r="G31"/>
      <c r="H31"/>
      <c r="I31"/>
      <c r="J31"/>
      <c r="K31"/>
      <c r="L31"/>
      <c r="M31"/>
      <c r="N31"/>
      <c r="O31"/>
      <c r="P31" s="3"/>
      <c r="Q31"/>
      <c r="R31"/>
      <c r="S31"/>
      <c r="T31"/>
      <c r="U31"/>
      <c r="V31"/>
      <c r="W31"/>
      <c r="X31"/>
      <c r="Y31"/>
    </row>
    <row r="32" spans="1:25" x14ac:dyDescent="0.25">
      <c r="A32" t="s">
        <v>55</v>
      </c>
      <c r="B32" s="2">
        <v>45750.375</v>
      </c>
      <c r="C32" s="1">
        <f t="shared" si="0"/>
        <v>192</v>
      </c>
      <c r="D32" s="1">
        <v>18</v>
      </c>
      <c r="E32" s="1">
        <v>999</v>
      </c>
      <c r="F32">
        <v>44.01</v>
      </c>
      <c r="G32">
        <v>0.20119999999999999</v>
      </c>
      <c r="H32">
        <v>0.13</v>
      </c>
      <c r="I32">
        <v>6.59</v>
      </c>
      <c r="J32">
        <v>12</v>
      </c>
      <c r="K32">
        <v>0</v>
      </c>
      <c r="L32">
        <v>12</v>
      </c>
      <c r="M32">
        <v>7.08</v>
      </c>
      <c r="N32">
        <v>49</v>
      </c>
      <c r="O32">
        <v>180</v>
      </c>
      <c r="P32" s="3">
        <v>93.090171629835368</v>
      </c>
      <c r="Q32"/>
      <c r="R32"/>
      <c r="S32"/>
      <c r="T32"/>
      <c r="U32"/>
      <c r="V32"/>
      <c r="W32"/>
      <c r="X32"/>
      <c r="Y32"/>
    </row>
    <row r="33" spans="1:25" x14ac:dyDescent="0.25">
      <c r="A33" t="s">
        <v>56</v>
      </c>
      <c r="B33" s="2">
        <v>45750.625</v>
      </c>
      <c r="C33" s="1">
        <f t="shared" si="0"/>
        <v>198</v>
      </c>
      <c r="D33" s="1">
        <v>18.3</v>
      </c>
      <c r="E33" s="1">
        <v>997</v>
      </c>
      <c r="F33">
        <v>41.63</v>
      </c>
      <c r="G33">
        <v>0.2467</v>
      </c>
      <c r="H33">
        <v>0.1</v>
      </c>
      <c r="I33">
        <v>5.95</v>
      </c>
      <c r="J33">
        <v>12</v>
      </c>
      <c r="K33">
        <v>0</v>
      </c>
      <c r="L33">
        <v>12</v>
      </c>
      <c r="M33">
        <v>6.71</v>
      </c>
      <c r="N33">
        <v>58</v>
      </c>
      <c r="O33">
        <v>181</v>
      </c>
      <c r="P33" s="3">
        <v>95.414834902904403</v>
      </c>
      <c r="Q33"/>
      <c r="R33"/>
      <c r="S33"/>
      <c r="T33"/>
      <c r="U33"/>
      <c r="V33"/>
      <c r="W33"/>
      <c r="X33"/>
      <c r="Y33"/>
    </row>
    <row r="34" spans="1:25" x14ac:dyDescent="0.25">
      <c r="A34"/>
      <c r="B34" s="2">
        <v>45750.875</v>
      </c>
      <c r="C34" s="1">
        <f t="shared" si="0"/>
        <v>204</v>
      </c>
      <c r="D34" s="1">
        <v>18.600000000000001</v>
      </c>
      <c r="E34" s="1">
        <v>997</v>
      </c>
      <c r="F34"/>
      <c r="G34"/>
      <c r="H34"/>
      <c r="I34"/>
      <c r="J34"/>
      <c r="K34"/>
      <c r="L34"/>
      <c r="M34"/>
      <c r="N34"/>
      <c r="O34"/>
      <c r="P34" s="3"/>
      <c r="Q34"/>
      <c r="R34"/>
      <c r="S34"/>
      <c r="T34"/>
      <c r="U34"/>
      <c r="V34"/>
      <c r="W34"/>
      <c r="X34"/>
      <c r="Y34"/>
    </row>
    <row r="35" spans="1:25" x14ac:dyDescent="0.25">
      <c r="A35"/>
      <c r="B35" s="2">
        <v>45751.125</v>
      </c>
      <c r="C35" s="1">
        <f t="shared" si="0"/>
        <v>210</v>
      </c>
      <c r="D35" s="1">
        <v>18.600000000000001</v>
      </c>
      <c r="E35" s="1">
        <v>996</v>
      </c>
      <c r="F35"/>
      <c r="G35"/>
      <c r="H35"/>
      <c r="I35"/>
      <c r="J35"/>
      <c r="K35"/>
      <c r="L35"/>
      <c r="M35"/>
      <c r="N35"/>
      <c r="O35"/>
      <c r="P35" s="3"/>
      <c r="Q35"/>
      <c r="R35"/>
      <c r="S35"/>
      <c r="T35"/>
      <c r="U35"/>
      <c r="V35"/>
      <c r="W35"/>
      <c r="X35"/>
      <c r="Y35"/>
    </row>
    <row r="36" spans="1:25" x14ac:dyDescent="0.25">
      <c r="A36" t="s">
        <v>57</v>
      </c>
      <c r="B36" s="2">
        <v>45751.375</v>
      </c>
      <c r="C36" s="1">
        <f t="shared" si="0"/>
        <v>216</v>
      </c>
      <c r="D36" s="1">
        <v>18.399999999999999</v>
      </c>
      <c r="E36" s="1">
        <v>995</v>
      </c>
      <c r="F36">
        <v>27.73</v>
      </c>
      <c r="G36">
        <v>0.15659999999999999</v>
      </c>
      <c r="H36">
        <v>0.03</v>
      </c>
      <c r="I36">
        <v>3.43</v>
      </c>
      <c r="J36">
        <v>11</v>
      </c>
      <c r="K36">
        <v>10</v>
      </c>
      <c r="L36">
        <v>19.2</v>
      </c>
      <c r="M36">
        <v>6.68</v>
      </c>
      <c r="N36">
        <v>55</v>
      </c>
      <c r="O36">
        <v>169</v>
      </c>
      <c r="P36" s="3">
        <v>94.837799999999987</v>
      </c>
      <c r="Q36"/>
      <c r="R36">
        <v>4.2559988916666666E-2</v>
      </c>
      <c r="S36">
        <v>4.3908289249999987E-3</v>
      </c>
      <c r="T36">
        <v>6.5828369125000008E-3</v>
      </c>
      <c r="U36">
        <v>0.20738664812500002</v>
      </c>
      <c r="V36">
        <v>5.9216458874492552</v>
      </c>
      <c r="W36">
        <v>6.0123424124999998E-2</v>
      </c>
      <c r="X36">
        <v>0.1148949495</v>
      </c>
      <c r="Y36">
        <v>10.752416313050086</v>
      </c>
    </row>
    <row r="37" spans="1:25" x14ac:dyDescent="0.25">
      <c r="R37"/>
      <c r="S37"/>
      <c r="T37"/>
      <c r="U37"/>
      <c r="V37"/>
      <c r="W37"/>
      <c r="X37"/>
      <c r="Y37"/>
    </row>
    <row r="38" spans="1:25" x14ac:dyDescent="0.25">
      <c r="R38"/>
      <c r="S38"/>
      <c r="T38"/>
      <c r="U38"/>
      <c r="V38"/>
      <c r="W38"/>
      <c r="X38"/>
      <c r="Y38"/>
    </row>
    <row r="39" spans="1:25" x14ac:dyDescent="0.25">
      <c r="R39"/>
      <c r="S39"/>
      <c r="T39"/>
      <c r="U39"/>
      <c r="V39"/>
      <c r="W39"/>
      <c r="X39"/>
      <c r="Y39"/>
    </row>
    <row r="40" spans="1:25" x14ac:dyDescent="0.25">
      <c r="R40"/>
      <c r="S40"/>
      <c r="T40"/>
      <c r="U40"/>
      <c r="V40"/>
      <c r="W40"/>
      <c r="X40"/>
      <c r="Y40"/>
    </row>
    <row r="41" spans="1:25" x14ac:dyDescent="0.25">
      <c r="R41"/>
      <c r="S41"/>
      <c r="T41"/>
      <c r="U41"/>
      <c r="V41"/>
      <c r="W41"/>
      <c r="X41"/>
      <c r="Y41"/>
    </row>
    <row r="42" spans="1:25" x14ac:dyDescent="0.25">
      <c r="R42"/>
      <c r="S42"/>
      <c r="T42"/>
      <c r="U42"/>
      <c r="V42"/>
      <c r="W42"/>
      <c r="X42"/>
      <c r="Y42"/>
    </row>
    <row r="43" spans="1:25" x14ac:dyDescent="0.25">
      <c r="R43"/>
      <c r="S43"/>
      <c r="T43"/>
      <c r="U43"/>
      <c r="V43"/>
      <c r="W43"/>
      <c r="X43"/>
      <c r="Y43"/>
    </row>
    <row r="44" spans="1:25" x14ac:dyDescent="0.25">
      <c r="R44"/>
      <c r="S44"/>
      <c r="T44"/>
      <c r="U44"/>
      <c r="V44"/>
      <c r="W44"/>
      <c r="X44"/>
      <c r="Y44"/>
    </row>
    <row r="45" spans="1:25" x14ac:dyDescent="0.25">
      <c r="R45"/>
      <c r="S45"/>
      <c r="T45"/>
      <c r="U45"/>
      <c r="V45"/>
      <c r="W45"/>
      <c r="X45"/>
      <c r="Y45"/>
    </row>
    <row r="46" spans="1:25" x14ac:dyDescent="0.25">
      <c r="R46"/>
      <c r="S46"/>
      <c r="T46"/>
      <c r="U46"/>
      <c r="V46"/>
      <c r="W46"/>
      <c r="X46"/>
      <c r="Y46"/>
    </row>
    <row r="47" spans="1:25" x14ac:dyDescent="0.25">
      <c r="R47"/>
      <c r="S47"/>
      <c r="T47"/>
      <c r="U47"/>
      <c r="V47"/>
      <c r="W47"/>
      <c r="X47"/>
      <c r="Y47"/>
    </row>
    <row r="48" spans="1:25" x14ac:dyDescent="0.25">
      <c r="R48"/>
      <c r="S48"/>
      <c r="T48"/>
      <c r="U48"/>
      <c r="V48"/>
      <c r="W48"/>
      <c r="X48"/>
      <c r="Y48"/>
    </row>
    <row r="49" spans="18:25" x14ac:dyDescent="0.25">
      <c r="R49"/>
      <c r="S49"/>
      <c r="T49"/>
      <c r="U49"/>
      <c r="V49"/>
      <c r="W49"/>
      <c r="X49"/>
      <c r="Y49"/>
    </row>
    <row r="50" spans="18:25" x14ac:dyDescent="0.25">
      <c r="R50"/>
      <c r="S50"/>
      <c r="T50"/>
      <c r="U50"/>
      <c r="V50"/>
      <c r="W50"/>
      <c r="X50"/>
      <c r="Y50"/>
    </row>
    <row r="51" spans="18:25" x14ac:dyDescent="0.25">
      <c r="R51"/>
      <c r="S51"/>
      <c r="T51"/>
      <c r="U51"/>
      <c r="V51"/>
      <c r="W51"/>
      <c r="X51"/>
      <c r="Y51"/>
    </row>
    <row r="52" spans="18:25" x14ac:dyDescent="0.25">
      <c r="R52"/>
      <c r="S52"/>
      <c r="T52"/>
      <c r="U52"/>
      <c r="V52"/>
      <c r="W52"/>
      <c r="X52"/>
      <c r="Y52"/>
    </row>
    <row r="53" spans="18:25" x14ac:dyDescent="0.25">
      <c r="R53"/>
      <c r="S53"/>
      <c r="T53"/>
      <c r="U53"/>
      <c r="V53"/>
      <c r="W53"/>
      <c r="X53"/>
      <c r="Y53"/>
    </row>
    <row r="54" spans="18:25" x14ac:dyDescent="0.25">
      <c r="R54"/>
      <c r="S54"/>
      <c r="T54"/>
      <c r="U54"/>
      <c r="V54"/>
      <c r="W54"/>
      <c r="X54"/>
      <c r="Y54"/>
    </row>
    <row r="55" spans="18:25" x14ac:dyDescent="0.25">
      <c r="R55"/>
      <c r="S55"/>
      <c r="T55"/>
      <c r="U55"/>
      <c r="V55"/>
      <c r="W55"/>
      <c r="X55"/>
      <c r="Y55"/>
    </row>
    <row r="56" spans="18:25" x14ac:dyDescent="0.25">
      <c r="R56"/>
      <c r="S56"/>
      <c r="T56"/>
      <c r="U56"/>
      <c r="V56"/>
      <c r="W56"/>
      <c r="X56"/>
      <c r="Y56"/>
    </row>
    <row r="57" spans="18:25" x14ac:dyDescent="0.25">
      <c r="R57"/>
      <c r="S57"/>
      <c r="T57"/>
      <c r="U57"/>
      <c r="V57"/>
      <c r="W57"/>
      <c r="X57"/>
      <c r="Y57"/>
    </row>
    <row r="58" spans="18:25" x14ac:dyDescent="0.25">
      <c r="R58"/>
      <c r="S58"/>
      <c r="T58"/>
      <c r="U58"/>
      <c r="V58"/>
      <c r="W58"/>
      <c r="X58"/>
      <c r="Y58"/>
    </row>
    <row r="59" spans="18:25" x14ac:dyDescent="0.25">
      <c r="R59"/>
      <c r="S59"/>
      <c r="T59"/>
      <c r="U59"/>
      <c r="V59"/>
      <c r="W59"/>
      <c r="X59"/>
      <c r="Y59"/>
    </row>
    <row r="60" spans="18:25" x14ac:dyDescent="0.25">
      <c r="R60"/>
      <c r="S60"/>
      <c r="T60"/>
      <c r="U60"/>
      <c r="V60"/>
      <c r="W60"/>
      <c r="X60"/>
      <c r="Y60"/>
    </row>
    <row r="61" spans="18:25" x14ac:dyDescent="0.25">
      <c r="R61"/>
      <c r="S61"/>
      <c r="T61"/>
      <c r="U61"/>
      <c r="V61"/>
      <c r="W61"/>
      <c r="X61"/>
      <c r="Y61"/>
    </row>
    <row r="62" spans="18:25" x14ac:dyDescent="0.25">
      <c r="R62"/>
      <c r="S62"/>
      <c r="T62"/>
      <c r="U62"/>
      <c r="V62"/>
      <c r="W62"/>
      <c r="X62"/>
      <c r="Y62"/>
    </row>
    <row r="63" spans="18:25" x14ac:dyDescent="0.25">
      <c r="R63"/>
      <c r="S63"/>
      <c r="T63"/>
      <c r="U63"/>
      <c r="V63"/>
      <c r="W63"/>
      <c r="X63"/>
      <c r="Y63"/>
    </row>
    <row r="64" spans="18:25" x14ac:dyDescent="0.25">
      <c r="R64"/>
      <c r="S64"/>
      <c r="T64"/>
      <c r="U64"/>
      <c r="V64"/>
      <c r="W64"/>
      <c r="X64"/>
      <c r="Y64"/>
    </row>
    <row r="65" spans="18:25" x14ac:dyDescent="0.25">
      <c r="R65"/>
      <c r="S65"/>
      <c r="T65"/>
      <c r="U65"/>
      <c r="V65"/>
      <c r="W65"/>
      <c r="X65"/>
      <c r="Y6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5"/>
  <sheetViews>
    <sheetView topLeftCell="D1" zoomScale="85" zoomScaleNormal="85" workbookViewId="0">
      <selection activeCell="T10" sqref="T10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2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</row>
    <row r="2" spans="1:25" x14ac:dyDescent="0.25">
      <c r="A2" t="s">
        <v>58</v>
      </c>
      <c r="B2" s="2">
        <v>45742.375</v>
      </c>
      <c r="C2" s="1">
        <v>0</v>
      </c>
      <c r="D2" s="1">
        <v>18</v>
      </c>
      <c r="E2" s="1">
        <v>1060</v>
      </c>
      <c r="F2">
        <v>14.52</v>
      </c>
      <c r="G2">
        <v>0.15049999999999999</v>
      </c>
      <c r="H2">
        <v>63.28</v>
      </c>
      <c r="I2">
        <v>72.98</v>
      </c>
      <c r="J2">
        <v>64</v>
      </c>
      <c r="K2">
        <v>35</v>
      </c>
      <c r="L2">
        <v>92.7</v>
      </c>
      <c r="M2">
        <v>2.88</v>
      </c>
      <c r="N2">
        <v>28</v>
      </c>
      <c r="O2">
        <v>177</v>
      </c>
      <c r="P2" s="3">
        <v>10.888350755538683</v>
      </c>
      <c r="Q2">
        <v>48</v>
      </c>
      <c r="R2">
        <v>3.2879164691666664E-2</v>
      </c>
      <c r="S2">
        <v>1.7343435479166666E-3</v>
      </c>
      <c r="T2">
        <v>1.6865877862499998E-3</v>
      </c>
      <c r="U2">
        <v>5.9097828875000001E-2</v>
      </c>
      <c r="V2">
        <v>1.208975548534005</v>
      </c>
      <c r="W2">
        <v>1.6916222741666667E-2</v>
      </c>
      <c r="X2">
        <v>2.4970381358333335E-2</v>
      </c>
      <c r="Y2">
        <v>2.1529048612223898</v>
      </c>
    </row>
    <row r="3" spans="1:25" x14ac:dyDescent="0.25">
      <c r="A3" t="s">
        <v>59</v>
      </c>
      <c r="B3" s="2">
        <v>45742.875</v>
      </c>
      <c r="C3" s="1">
        <v>12</v>
      </c>
      <c r="D3" s="1">
        <v>18.8</v>
      </c>
      <c r="E3" s="1">
        <v>1064</v>
      </c>
      <c r="F3">
        <v>24.27</v>
      </c>
      <c r="G3">
        <v>3.3300000000000003E-2</v>
      </c>
      <c r="H3">
        <v>61.23</v>
      </c>
      <c r="I3">
        <v>71.269000000000005</v>
      </c>
      <c r="J3">
        <v>55</v>
      </c>
      <c r="K3">
        <v>24</v>
      </c>
      <c r="L3">
        <v>74.680000000000007</v>
      </c>
      <c r="M3">
        <v>2.62</v>
      </c>
      <c r="N3">
        <v>46</v>
      </c>
      <c r="O3">
        <v>175</v>
      </c>
      <c r="P3" s="3">
        <v>15.299706439239857</v>
      </c>
      <c r="Q3"/>
      <c r="R3"/>
      <c r="S3"/>
      <c r="T3"/>
      <c r="U3"/>
      <c r="V3"/>
      <c r="W3"/>
      <c r="X3"/>
      <c r="Y3"/>
    </row>
    <row r="4" spans="1:25" x14ac:dyDescent="0.25">
      <c r="A4"/>
      <c r="B4" s="2">
        <v>45743.125</v>
      </c>
      <c r="C4" s="1">
        <f t="shared" ref="C4:C36" si="0">(B4-B3)*24+C3</f>
        <v>18</v>
      </c>
      <c r="D4" s="1">
        <v>18.8</v>
      </c>
      <c r="E4" s="1">
        <v>1056</v>
      </c>
      <c r="F4"/>
      <c r="G4"/>
      <c r="H4"/>
      <c r="I4"/>
      <c r="J4"/>
      <c r="K4"/>
      <c r="L4"/>
      <c r="M4"/>
      <c r="N4"/>
      <c r="O4"/>
      <c r="P4" s="3"/>
      <c r="Q4"/>
      <c r="R4"/>
      <c r="S4"/>
      <c r="T4"/>
      <c r="U4"/>
      <c r="V4"/>
      <c r="W4"/>
      <c r="X4"/>
      <c r="Y4"/>
    </row>
    <row r="5" spans="1:25" x14ac:dyDescent="0.25">
      <c r="A5" t="s">
        <v>60</v>
      </c>
      <c r="B5" s="2">
        <v>45743.375</v>
      </c>
      <c r="C5" s="1">
        <f t="shared" si="0"/>
        <v>24</v>
      </c>
      <c r="D5" s="1">
        <v>17.3</v>
      </c>
      <c r="E5" s="1">
        <v>1053</v>
      </c>
      <c r="F5">
        <v>25.42</v>
      </c>
      <c r="G5">
        <v>5.45E-2</v>
      </c>
      <c r="H5">
        <v>53.09</v>
      </c>
      <c r="I5">
        <v>68.260000000000005</v>
      </c>
      <c r="J5">
        <v>33</v>
      </c>
      <c r="K5">
        <v>3</v>
      </c>
      <c r="L5">
        <v>35.46</v>
      </c>
      <c r="M5">
        <v>3.34</v>
      </c>
      <c r="N5">
        <v>61</v>
      </c>
      <c r="O5">
        <v>209</v>
      </c>
      <c r="P5" s="3">
        <v>20.480176534650546</v>
      </c>
      <c r="Q5" s="1">
        <v>100</v>
      </c>
      <c r="R5"/>
      <c r="S5"/>
      <c r="T5"/>
      <c r="U5"/>
      <c r="V5"/>
      <c r="W5"/>
      <c r="X5"/>
      <c r="Y5"/>
    </row>
    <row r="6" spans="1:25" x14ac:dyDescent="0.25">
      <c r="A6" t="s">
        <v>61</v>
      </c>
      <c r="B6" s="2">
        <v>45743.625</v>
      </c>
      <c r="C6" s="1">
        <f t="shared" si="0"/>
        <v>30</v>
      </c>
      <c r="D6" s="1">
        <v>19</v>
      </c>
      <c r="E6" s="1">
        <v>1049</v>
      </c>
      <c r="F6">
        <v>30.41</v>
      </c>
      <c r="G6">
        <v>6.9000000000000006E-2</v>
      </c>
      <c r="H6">
        <v>54.71</v>
      </c>
      <c r="I6">
        <v>58.53</v>
      </c>
      <c r="J6">
        <v>26</v>
      </c>
      <c r="K6">
        <v>0</v>
      </c>
      <c r="L6">
        <v>26</v>
      </c>
      <c r="M6">
        <v>3.33</v>
      </c>
      <c r="N6">
        <v>72</v>
      </c>
      <c r="O6">
        <v>206</v>
      </c>
      <c r="P6" s="3">
        <v>24.576410721063549</v>
      </c>
      <c r="Q6"/>
      <c r="R6"/>
      <c r="S6"/>
      <c r="T6"/>
      <c r="U6"/>
      <c r="V6"/>
      <c r="W6"/>
      <c r="X6"/>
      <c r="Y6"/>
    </row>
    <row r="7" spans="1:25" x14ac:dyDescent="0.25">
      <c r="A7"/>
      <c r="B7" s="2">
        <v>45743.875</v>
      </c>
      <c r="C7" s="1">
        <f t="shared" si="0"/>
        <v>36</v>
      </c>
      <c r="D7" s="1">
        <v>18.5</v>
      </c>
      <c r="E7" s="1">
        <v>1049</v>
      </c>
      <c r="F7"/>
      <c r="G7"/>
      <c r="H7"/>
      <c r="I7"/>
      <c r="J7"/>
      <c r="K7"/>
      <c r="L7"/>
      <c r="M7"/>
      <c r="N7"/>
      <c r="O7"/>
      <c r="P7" s="3"/>
      <c r="Q7"/>
      <c r="R7"/>
      <c r="S7"/>
      <c r="T7"/>
      <c r="U7"/>
      <c r="V7"/>
      <c r="W7"/>
      <c r="X7"/>
      <c r="Y7"/>
    </row>
    <row r="8" spans="1:25" x14ac:dyDescent="0.25">
      <c r="A8"/>
      <c r="B8" s="2">
        <v>45744.125</v>
      </c>
      <c r="C8" s="1">
        <f t="shared" si="0"/>
        <v>42</v>
      </c>
      <c r="D8" s="1">
        <v>18.399999999999999</v>
      </c>
      <c r="E8" s="1">
        <v>1044</v>
      </c>
      <c r="F8"/>
      <c r="G8"/>
      <c r="H8"/>
      <c r="I8"/>
      <c r="J8"/>
      <c r="K8"/>
      <c r="L8"/>
      <c r="M8"/>
      <c r="N8"/>
      <c r="O8"/>
      <c r="P8" s="3"/>
      <c r="Q8"/>
      <c r="R8"/>
      <c r="S8"/>
      <c r="T8"/>
      <c r="U8"/>
      <c r="V8"/>
      <c r="W8"/>
      <c r="X8"/>
      <c r="Y8"/>
    </row>
    <row r="9" spans="1:25" x14ac:dyDescent="0.25">
      <c r="A9" t="s">
        <v>62</v>
      </c>
      <c r="B9" s="2">
        <v>45744.375</v>
      </c>
      <c r="C9" s="1">
        <f t="shared" si="0"/>
        <v>48</v>
      </c>
      <c r="D9" s="1">
        <v>18.399999999999999</v>
      </c>
      <c r="E9" s="1">
        <v>1039</v>
      </c>
      <c r="F9">
        <v>46.85</v>
      </c>
      <c r="G9">
        <v>0.17100000000000001</v>
      </c>
      <c r="H9">
        <v>31.34</v>
      </c>
      <c r="I9">
        <v>54.83</v>
      </c>
      <c r="J9">
        <v>23</v>
      </c>
      <c r="K9">
        <v>3</v>
      </c>
      <c r="L9">
        <v>25.46</v>
      </c>
      <c r="M9">
        <v>4.68</v>
      </c>
      <c r="N9">
        <v>74</v>
      </c>
      <c r="O9">
        <v>200</v>
      </c>
      <c r="P9" s="3">
        <v>39.540056989587931</v>
      </c>
      <c r="Q9"/>
      <c r="R9">
        <v>3.0490817016666664E-2</v>
      </c>
      <c r="S9">
        <v>2.7256475399999999E-3</v>
      </c>
      <c r="T9">
        <v>8.2544364083333337E-4</v>
      </c>
      <c r="U9">
        <v>0.11986148525</v>
      </c>
      <c r="V9">
        <v>2.6245448973805039</v>
      </c>
      <c r="W9">
        <v>3.0351508049999996E-2</v>
      </c>
      <c r="X9">
        <v>4.8471034333333336E-2</v>
      </c>
      <c r="Y9">
        <v>4.6169332223081208</v>
      </c>
    </row>
    <row r="10" spans="1:25" x14ac:dyDescent="0.25">
      <c r="A10" t="s">
        <v>63</v>
      </c>
      <c r="B10" s="2">
        <v>45744.625</v>
      </c>
      <c r="C10" s="1">
        <f t="shared" si="0"/>
        <v>54</v>
      </c>
      <c r="D10" s="1">
        <v>18.399999999999999</v>
      </c>
      <c r="E10"/>
      <c r="F10">
        <v>61.98</v>
      </c>
      <c r="G10">
        <v>0.16520000000000001</v>
      </c>
      <c r="H10">
        <v>26.71</v>
      </c>
      <c r="I10">
        <v>51.82</v>
      </c>
      <c r="J10">
        <v>15</v>
      </c>
      <c r="K10">
        <v>4</v>
      </c>
      <c r="L10">
        <v>18.28</v>
      </c>
      <c r="M10">
        <v>5.2</v>
      </c>
      <c r="N10">
        <v>77</v>
      </c>
      <c r="O10">
        <v>208</v>
      </c>
      <c r="P10" s="3">
        <v>45.790690678573405</v>
      </c>
      <c r="Q10"/>
      <c r="R10"/>
      <c r="S10"/>
      <c r="T10"/>
      <c r="U10"/>
      <c r="V10"/>
      <c r="W10"/>
      <c r="X10"/>
      <c r="Y10"/>
    </row>
    <row r="11" spans="1:25" x14ac:dyDescent="0.25">
      <c r="A11"/>
      <c r="B11" s="2">
        <v>45744.875</v>
      </c>
      <c r="C11" s="1">
        <f t="shared" si="0"/>
        <v>60</v>
      </c>
      <c r="D11" s="1">
        <v>15.3</v>
      </c>
      <c r="E11" s="1">
        <v>1032</v>
      </c>
      <c r="F11"/>
      <c r="G11"/>
      <c r="H11"/>
      <c r="I11"/>
      <c r="J11"/>
      <c r="K11"/>
      <c r="L11"/>
      <c r="M11"/>
      <c r="N11"/>
      <c r="O11"/>
      <c r="P11" s="3"/>
      <c r="Q11"/>
      <c r="R11"/>
      <c r="S11"/>
      <c r="T11"/>
      <c r="U11"/>
      <c r="V11"/>
      <c r="W11"/>
      <c r="X11"/>
      <c r="Y11"/>
    </row>
    <row r="12" spans="1:25" x14ac:dyDescent="0.25">
      <c r="A12"/>
      <c r="B12" s="2">
        <v>45745.125</v>
      </c>
      <c r="C12" s="1">
        <f t="shared" si="0"/>
        <v>66</v>
      </c>
      <c r="D12" s="1">
        <v>17.899999999999999</v>
      </c>
      <c r="E12" s="1">
        <v>1031</v>
      </c>
      <c r="F12"/>
      <c r="G12"/>
      <c r="H12"/>
      <c r="I12"/>
      <c r="J12"/>
      <c r="K12"/>
      <c r="L12"/>
      <c r="M12"/>
      <c r="N12"/>
      <c r="O12"/>
      <c r="P12" s="3"/>
      <c r="Q12"/>
      <c r="R12"/>
      <c r="S12"/>
      <c r="T12"/>
      <c r="U12"/>
      <c r="V12"/>
      <c r="W12"/>
      <c r="X12"/>
      <c r="Y12"/>
    </row>
    <row r="13" spans="1:25" x14ac:dyDescent="0.25">
      <c r="A13" t="s">
        <v>64</v>
      </c>
      <c r="B13" s="2">
        <v>45745.375</v>
      </c>
      <c r="C13" s="1">
        <f t="shared" si="0"/>
        <v>72</v>
      </c>
      <c r="D13" s="1">
        <v>18</v>
      </c>
      <c r="E13" s="1">
        <v>1025</v>
      </c>
      <c r="F13">
        <v>56.76</v>
      </c>
      <c r="G13">
        <v>0.2329</v>
      </c>
      <c r="H13">
        <v>16.14</v>
      </c>
      <c r="I13">
        <v>44.61</v>
      </c>
      <c r="J13">
        <v>10</v>
      </c>
      <c r="K13">
        <v>0</v>
      </c>
      <c r="L13">
        <v>10</v>
      </c>
      <c r="M13">
        <v>5.58</v>
      </c>
      <c r="N13">
        <v>70</v>
      </c>
      <c r="O13">
        <v>193</v>
      </c>
      <c r="P13" s="3">
        <v>57.409980257815242</v>
      </c>
      <c r="Q13"/>
      <c r="R13">
        <v>3.4965525975000002E-2</v>
      </c>
      <c r="S13">
        <v>3.886536880416667E-3</v>
      </c>
      <c r="T13">
        <v>4.1079981362500007E-3</v>
      </c>
      <c r="U13">
        <v>0.16524226875</v>
      </c>
      <c r="V13">
        <v>4.3836125812431659</v>
      </c>
      <c r="W13">
        <v>4.3999130291666667E-2</v>
      </c>
      <c r="X13">
        <v>8.8039389458333339E-2</v>
      </c>
      <c r="Y13">
        <v>7.2941893849747403</v>
      </c>
    </row>
    <row r="14" spans="1:25" x14ac:dyDescent="0.25">
      <c r="A14"/>
      <c r="B14" s="2">
        <v>45745.625</v>
      </c>
      <c r="C14" s="1">
        <f t="shared" si="0"/>
        <v>78</v>
      </c>
      <c r="D14" s="1">
        <v>18</v>
      </c>
      <c r="E14" s="1">
        <v>1024</v>
      </c>
      <c r="F14"/>
      <c r="G14"/>
      <c r="H14"/>
      <c r="I14"/>
      <c r="J14"/>
      <c r="K14"/>
      <c r="L14"/>
      <c r="M14"/>
      <c r="N14"/>
      <c r="O14"/>
      <c r="P14" s="3"/>
      <c r="Q14"/>
      <c r="R14"/>
      <c r="S14"/>
      <c r="T14"/>
      <c r="U14"/>
      <c r="V14"/>
      <c r="W14"/>
      <c r="X14"/>
      <c r="Y14"/>
    </row>
    <row r="15" spans="1:25" x14ac:dyDescent="0.25">
      <c r="A15"/>
      <c r="B15" s="2">
        <v>45745.875</v>
      </c>
      <c r="C15" s="1">
        <f t="shared" si="0"/>
        <v>84</v>
      </c>
      <c r="D15" s="1">
        <v>18.100000000000001</v>
      </c>
      <c r="E15" s="1">
        <v>1023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25" x14ac:dyDescent="0.25">
      <c r="A16"/>
      <c r="B16" s="2">
        <v>45746.125</v>
      </c>
      <c r="C16" s="1">
        <f t="shared" si="0"/>
        <v>90</v>
      </c>
      <c r="D16" s="1">
        <v>18.600000000000001</v>
      </c>
      <c r="E16" s="1">
        <v>1020</v>
      </c>
      <c r="F16"/>
      <c r="G16"/>
      <c r="H16"/>
      <c r="I16"/>
      <c r="J16"/>
      <c r="K16"/>
      <c r="L16"/>
      <c r="M16"/>
      <c r="N16"/>
      <c r="O16"/>
      <c r="P16" s="3"/>
      <c r="Q16"/>
      <c r="R16"/>
      <c r="S16"/>
      <c r="T16"/>
      <c r="U16"/>
      <c r="V16"/>
      <c r="W16"/>
      <c r="X16"/>
      <c r="Y16"/>
    </row>
    <row r="17" spans="1:25" x14ac:dyDescent="0.25">
      <c r="A17"/>
      <c r="B17" s="2">
        <v>45746.375</v>
      </c>
      <c r="C17" s="1">
        <f t="shared" si="0"/>
        <v>96</v>
      </c>
      <c r="D17" s="1">
        <v>18.8</v>
      </c>
      <c r="E17" s="1">
        <v>1015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</row>
    <row r="18" spans="1:25" x14ac:dyDescent="0.25">
      <c r="A18" t="s">
        <v>65</v>
      </c>
      <c r="B18" s="2">
        <v>45746.625</v>
      </c>
      <c r="C18" s="1">
        <f t="shared" si="0"/>
        <v>102</v>
      </c>
      <c r="D18" s="1">
        <v>18.3</v>
      </c>
      <c r="E18" s="1">
        <v>1013</v>
      </c>
      <c r="F18">
        <v>63.44</v>
      </c>
      <c r="G18">
        <v>0.28060000000000002</v>
      </c>
      <c r="H18">
        <v>7.25</v>
      </c>
      <c r="I18">
        <v>31.15</v>
      </c>
      <c r="J18">
        <v>10</v>
      </c>
      <c r="K18">
        <v>0</v>
      </c>
      <c r="L18">
        <v>10</v>
      </c>
      <c r="M18">
        <v>6.41</v>
      </c>
      <c r="N18">
        <v>57</v>
      </c>
      <c r="O18">
        <v>189</v>
      </c>
      <c r="P18" s="3">
        <v>71.992831021378194</v>
      </c>
      <c r="Q18"/>
      <c r="R18"/>
      <c r="S18"/>
      <c r="T18"/>
      <c r="U18"/>
      <c r="V18"/>
      <c r="W18"/>
      <c r="X18"/>
      <c r="Y18"/>
    </row>
    <row r="19" spans="1:25" x14ac:dyDescent="0.25">
      <c r="A19"/>
      <c r="B19" s="2">
        <v>45746.875</v>
      </c>
      <c r="C19" s="1">
        <f t="shared" si="0"/>
        <v>108</v>
      </c>
      <c r="D19" s="1">
        <v>18.100000000000001</v>
      </c>
      <c r="E19" s="1">
        <v>1012</v>
      </c>
      <c r="F19"/>
      <c r="G19"/>
      <c r="H19"/>
      <c r="I19"/>
      <c r="J19"/>
      <c r="K19"/>
      <c r="L19"/>
      <c r="M19"/>
      <c r="N19"/>
      <c r="O19"/>
      <c r="P19" s="3"/>
      <c r="Q19"/>
      <c r="R19"/>
      <c r="S19"/>
      <c r="T19"/>
      <c r="U19"/>
      <c r="V19"/>
      <c r="W19"/>
      <c r="X19"/>
      <c r="Y19"/>
    </row>
    <row r="20" spans="1:25" x14ac:dyDescent="0.25">
      <c r="A20"/>
      <c r="B20" s="2">
        <v>45747.125</v>
      </c>
      <c r="C20" s="1">
        <f t="shared" si="0"/>
        <v>114</v>
      </c>
      <c r="D20" s="1">
        <v>18</v>
      </c>
      <c r="E20" s="1">
        <v>1011</v>
      </c>
      <c r="F20"/>
      <c r="G20"/>
      <c r="H20"/>
      <c r="I20"/>
      <c r="J20"/>
      <c r="K20"/>
      <c r="L20"/>
      <c r="M20"/>
      <c r="N20"/>
      <c r="O20"/>
      <c r="P20" s="3"/>
      <c r="Q20"/>
      <c r="R20"/>
      <c r="S20"/>
      <c r="T20"/>
      <c r="U20"/>
      <c r="V20"/>
      <c r="W20"/>
      <c r="X20"/>
      <c r="Y20"/>
    </row>
    <row r="21" spans="1:25" x14ac:dyDescent="0.25">
      <c r="A21" t="s">
        <v>66</v>
      </c>
      <c r="B21" s="2">
        <v>45747.375</v>
      </c>
      <c r="C21" s="1">
        <f t="shared" si="0"/>
        <v>120</v>
      </c>
      <c r="D21" s="1">
        <v>18.600000000000001</v>
      </c>
      <c r="E21" s="1">
        <v>1010</v>
      </c>
      <c r="F21">
        <v>58.45</v>
      </c>
      <c r="G21">
        <v>0.16930000000000001</v>
      </c>
      <c r="H21">
        <v>4.6100000000000003</v>
      </c>
      <c r="I21">
        <v>28.74</v>
      </c>
      <c r="J21">
        <v>11</v>
      </c>
      <c r="K21">
        <v>2</v>
      </c>
      <c r="L21">
        <v>12.64</v>
      </c>
      <c r="M21">
        <v>6.35</v>
      </c>
      <c r="N21">
        <v>64</v>
      </c>
      <c r="O21">
        <v>177</v>
      </c>
      <c r="P21" s="3">
        <v>78.520867024575921</v>
      </c>
      <c r="Q21"/>
      <c r="R21"/>
      <c r="S21"/>
      <c r="T21"/>
      <c r="U21"/>
      <c r="V21"/>
      <c r="W21"/>
      <c r="X21"/>
      <c r="Y21"/>
    </row>
    <row r="22" spans="1:25" x14ac:dyDescent="0.25">
      <c r="A22" t="s">
        <v>67</v>
      </c>
      <c r="B22" s="2">
        <v>45747.625</v>
      </c>
      <c r="C22" s="1">
        <f t="shared" si="0"/>
        <v>126</v>
      </c>
      <c r="D22" s="1">
        <v>18.8</v>
      </c>
      <c r="E22" s="1">
        <v>1010</v>
      </c>
      <c r="F22">
        <v>46.77</v>
      </c>
      <c r="G22">
        <v>8.9200000000000002E-2</v>
      </c>
      <c r="H22">
        <v>3.6</v>
      </c>
      <c r="I22">
        <v>25.03</v>
      </c>
      <c r="J22">
        <v>10</v>
      </c>
      <c r="K22">
        <v>4</v>
      </c>
      <c r="L22">
        <v>13.28</v>
      </c>
      <c r="M22">
        <v>6.48</v>
      </c>
      <c r="N22">
        <v>61</v>
      </c>
      <c r="O22">
        <v>185</v>
      </c>
      <c r="P22" s="3">
        <v>80.798845874532205</v>
      </c>
      <c r="Q22"/>
      <c r="R22">
        <v>3.7706453262500002E-2</v>
      </c>
      <c r="S22">
        <v>4.0109700541666668E-3</v>
      </c>
      <c r="T22">
        <v>4.5149781250000002E-3</v>
      </c>
      <c r="U22">
        <v>0.12465832054166667</v>
      </c>
      <c r="V22">
        <v>4.7660304396608417</v>
      </c>
      <c r="W22">
        <v>3.7407334474999998E-2</v>
      </c>
      <c r="X22">
        <v>8.9620201083333337E-2</v>
      </c>
      <c r="Y22">
        <v>7.7955253891259995</v>
      </c>
    </row>
    <row r="23" spans="1:25" x14ac:dyDescent="0.25">
      <c r="A23"/>
      <c r="B23" s="2">
        <v>45747.875</v>
      </c>
      <c r="C23" s="1">
        <f t="shared" si="0"/>
        <v>132</v>
      </c>
      <c r="D23" s="1">
        <v>18.3</v>
      </c>
      <c r="E23" s="1">
        <v>1006</v>
      </c>
      <c r="F23"/>
      <c r="G23"/>
      <c r="H23"/>
      <c r="I23"/>
      <c r="J23"/>
      <c r="K23"/>
      <c r="L23"/>
      <c r="M23"/>
      <c r="N23"/>
      <c r="O23"/>
      <c r="P23" s="3"/>
      <c r="Q23"/>
      <c r="R23"/>
      <c r="S23"/>
      <c r="T23"/>
      <c r="U23"/>
      <c r="V23"/>
      <c r="W23"/>
      <c r="X23"/>
      <c r="Y23"/>
    </row>
    <row r="24" spans="1:25" x14ac:dyDescent="0.25">
      <c r="A24"/>
      <c r="B24" s="2">
        <v>45748.125</v>
      </c>
      <c r="C24" s="1">
        <f t="shared" si="0"/>
        <v>138</v>
      </c>
      <c r="D24" s="1">
        <v>18</v>
      </c>
      <c r="E24" s="1">
        <v>1006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</row>
    <row r="25" spans="1:25" x14ac:dyDescent="0.25">
      <c r="A25" t="s">
        <v>68</v>
      </c>
      <c r="B25" s="2">
        <v>45748.375</v>
      </c>
      <c r="C25" s="1">
        <f t="shared" si="0"/>
        <v>144</v>
      </c>
      <c r="D25" s="1">
        <v>18.100000000000001</v>
      </c>
      <c r="E25" s="1">
        <v>1005</v>
      </c>
      <c r="F25">
        <v>50.46</v>
      </c>
      <c r="G25">
        <v>-2.0999999999999999E-3</v>
      </c>
      <c r="H25">
        <v>2.1800000000000002</v>
      </c>
      <c r="I25">
        <v>20.079999999999998</v>
      </c>
      <c r="J25">
        <v>12</v>
      </c>
      <c r="K25">
        <v>6</v>
      </c>
      <c r="L25">
        <v>16.920000000000002</v>
      </c>
      <c r="M25">
        <v>6.38</v>
      </c>
      <c r="N25">
        <v>52</v>
      </c>
      <c r="O25">
        <v>184</v>
      </c>
      <c r="P25" s="3">
        <v>83.352894339257716</v>
      </c>
      <c r="Q25"/>
      <c r="R25"/>
      <c r="S25"/>
      <c r="T25"/>
      <c r="U25"/>
      <c r="V25"/>
      <c r="W25"/>
      <c r="X25"/>
      <c r="Y25"/>
    </row>
    <row r="26" spans="1:25" x14ac:dyDescent="0.25">
      <c r="A26" t="s">
        <v>69</v>
      </c>
      <c r="B26" s="2">
        <v>45748.625</v>
      </c>
      <c r="C26" s="1">
        <f t="shared" si="0"/>
        <v>150</v>
      </c>
      <c r="D26" s="1">
        <v>18.399999999999999</v>
      </c>
      <c r="E26" s="1">
        <v>1005</v>
      </c>
      <c r="F26">
        <v>43.01</v>
      </c>
      <c r="G26">
        <v>0.3795</v>
      </c>
      <c r="H26">
        <v>1.8</v>
      </c>
      <c r="I26">
        <v>18.91</v>
      </c>
      <c r="J26">
        <v>11</v>
      </c>
      <c r="K26">
        <v>11</v>
      </c>
      <c r="L26">
        <v>20.02</v>
      </c>
      <c r="M26">
        <v>6.41</v>
      </c>
      <c r="N26">
        <v>52</v>
      </c>
      <c r="O26">
        <v>188</v>
      </c>
      <c r="P26" s="3">
        <v>86.320908350545267</v>
      </c>
      <c r="Q26"/>
      <c r="R26"/>
      <c r="S26"/>
      <c r="T26"/>
      <c r="U26"/>
      <c r="V26"/>
      <c r="W26"/>
      <c r="X26"/>
      <c r="Y26"/>
    </row>
    <row r="27" spans="1:25" x14ac:dyDescent="0.25">
      <c r="A27"/>
      <c r="B27" s="2">
        <v>45748.875</v>
      </c>
      <c r="C27" s="1">
        <f t="shared" si="0"/>
        <v>156</v>
      </c>
      <c r="D27" s="1">
        <v>18.5</v>
      </c>
      <c r="E27" s="1">
        <v>1002</v>
      </c>
      <c r="F27"/>
      <c r="G27"/>
      <c r="H27"/>
      <c r="I27"/>
      <c r="J27"/>
      <c r="K27"/>
      <c r="L27"/>
      <c r="M27"/>
      <c r="N27"/>
      <c r="O27"/>
      <c r="P27" s="3"/>
      <c r="Q27"/>
      <c r="R27"/>
      <c r="S27"/>
      <c r="T27"/>
      <c r="U27"/>
      <c r="V27"/>
      <c r="W27"/>
      <c r="X27"/>
      <c r="Y27"/>
    </row>
    <row r="28" spans="1:25" x14ac:dyDescent="0.25">
      <c r="A28" t="s">
        <v>70</v>
      </c>
      <c r="B28" s="2">
        <v>45749.375</v>
      </c>
      <c r="C28" s="1">
        <f t="shared" si="0"/>
        <v>168</v>
      </c>
      <c r="D28" s="1">
        <v>17.2</v>
      </c>
      <c r="E28" s="1">
        <v>1002</v>
      </c>
      <c r="F28">
        <v>52.85</v>
      </c>
      <c r="G28">
        <v>0.2253</v>
      </c>
      <c r="H28">
        <v>0.71</v>
      </c>
      <c r="I28">
        <v>12.53</v>
      </c>
      <c r="J28">
        <v>10</v>
      </c>
      <c r="K28">
        <v>3</v>
      </c>
      <c r="L28">
        <v>12.46</v>
      </c>
      <c r="M28">
        <v>6.52</v>
      </c>
      <c r="N28">
        <v>49</v>
      </c>
      <c r="O28">
        <v>178</v>
      </c>
      <c r="P28" s="3">
        <v>87.944683258586565</v>
      </c>
      <c r="Q28"/>
      <c r="R28"/>
      <c r="S28"/>
      <c r="T28"/>
      <c r="U28"/>
      <c r="V28"/>
      <c r="W28"/>
      <c r="X28"/>
      <c r="Y28"/>
    </row>
    <row r="29" spans="1:25" x14ac:dyDescent="0.25">
      <c r="A29" t="s">
        <v>71</v>
      </c>
      <c r="B29" s="2">
        <v>45749.625</v>
      </c>
      <c r="C29" s="1">
        <f t="shared" si="0"/>
        <v>174</v>
      </c>
      <c r="D29" s="1">
        <v>18.3</v>
      </c>
      <c r="E29" s="1">
        <v>1001</v>
      </c>
      <c r="F29">
        <v>42.78</v>
      </c>
      <c r="G29">
        <v>0.18060000000000001</v>
      </c>
      <c r="H29">
        <v>0.25</v>
      </c>
      <c r="I29">
        <v>11.09</v>
      </c>
      <c r="J29">
        <v>10</v>
      </c>
      <c r="K29">
        <v>3</v>
      </c>
      <c r="L29">
        <v>12.46</v>
      </c>
      <c r="M29">
        <v>6.56</v>
      </c>
      <c r="N29">
        <v>54</v>
      </c>
      <c r="O29">
        <v>184</v>
      </c>
      <c r="P29" s="3">
        <v>91.202568815247062</v>
      </c>
      <c r="Q29"/>
      <c r="R29"/>
      <c r="S29"/>
      <c r="T29"/>
      <c r="U29"/>
      <c r="V29"/>
      <c r="W29"/>
      <c r="X29"/>
      <c r="Y29"/>
    </row>
    <row r="30" spans="1:25" x14ac:dyDescent="0.25">
      <c r="A30"/>
      <c r="B30" s="2">
        <v>45749.875</v>
      </c>
      <c r="C30" s="1">
        <f t="shared" si="0"/>
        <v>180</v>
      </c>
      <c r="D30" s="1">
        <v>18.3</v>
      </c>
      <c r="E30" s="1">
        <v>1000</v>
      </c>
      <c r="F30"/>
      <c r="G30"/>
      <c r="H30"/>
      <c r="I30"/>
      <c r="J30"/>
      <c r="K30"/>
      <c r="L30"/>
      <c r="M30"/>
      <c r="N30"/>
      <c r="O30"/>
      <c r="P30" s="3"/>
      <c r="Q30"/>
      <c r="R30"/>
      <c r="S30"/>
      <c r="T30"/>
      <c r="U30"/>
      <c r="V30"/>
      <c r="W30"/>
      <c r="X30"/>
      <c r="Y30"/>
    </row>
    <row r="31" spans="1:25" x14ac:dyDescent="0.25">
      <c r="A31"/>
      <c r="B31" s="2">
        <v>45750.125</v>
      </c>
      <c r="C31" s="1">
        <f t="shared" si="0"/>
        <v>186</v>
      </c>
      <c r="D31" s="1">
        <v>17.899999999999999</v>
      </c>
      <c r="E31" s="1">
        <v>999</v>
      </c>
      <c r="F31"/>
      <c r="G31"/>
      <c r="H31"/>
      <c r="I31"/>
      <c r="J31"/>
      <c r="K31"/>
      <c r="L31"/>
      <c r="M31"/>
      <c r="N31"/>
      <c r="O31"/>
      <c r="P31" s="3"/>
      <c r="Q31"/>
      <c r="R31"/>
      <c r="S31"/>
      <c r="T31"/>
      <c r="U31"/>
      <c r="V31"/>
      <c r="W31"/>
      <c r="X31"/>
      <c r="Y31"/>
    </row>
    <row r="32" spans="1:25" x14ac:dyDescent="0.25">
      <c r="A32" t="s">
        <v>72</v>
      </c>
      <c r="B32" s="2">
        <v>45750.375</v>
      </c>
      <c r="C32" s="1">
        <f t="shared" si="0"/>
        <v>192</v>
      </c>
      <c r="D32" s="1">
        <v>17.899999999999999</v>
      </c>
      <c r="E32" s="1">
        <v>999</v>
      </c>
      <c r="F32">
        <v>40.86</v>
      </c>
      <c r="G32">
        <v>0.18890000000000001</v>
      </c>
      <c r="H32">
        <v>0.24</v>
      </c>
      <c r="I32">
        <v>8.69</v>
      </c>
      <c r="J32">
        <v>11</v>
      </c>
      <c r="K32">
        <v>0</v>
      </c>
      <c r="L32">
        <v>11</v>
      </c>
      <c r="M32">
        <v>6.75</v>
      </c>
      <c r="N32">
        <v>56</v>
      </c>
      <c r="O32">
        <v>181</v>
      </c>
      <c r="P32" s="3">
        <v>92.56410336718325</v>
      </c>
      <c r="Q32"/>
      <c r="R32"/>
      <c r="S32"/>
      <c r="T32"/>
      <c r="U32"/>
      <c r="V32"/>
      <c r="W32"/>
      <c r="X32"/>
      <c r="Y32"/>
    </row>
    <row r="33" spans="1:25" x14ac:dyDescent="0.25">
      <c r="A33" t="s">
        <v>73</v>
      </c>
      <c r="B33" s="2">
        <v>45750.625</v>
      </c>
      <c r="C33" s="1">
        <f t="shared" si="0"/>
        <v>198</v>
      </c>
      <c r="D33" s="1">
        <v>28.9</v>
      </c>
      <c r="E33" s="1">
        <v>998</v>
      </c>
      <c r="F33">
        <v>35.869999999999997</v>
      </c>
      <c r="G33">
        <v>0.192</v>
      </c>
      <c r="H33">
        <v>0.19</v>
      </c>
      <c r="I33">
        <v>8.02</v>
      </c>
      <c r="J33">
        <v>12</v>
      </c>
      <c r="K33">
        <v>0</v>
      </c>
      <c r="L33">
        <v>12</v>
      </c>
      <c r="M33">
        <v>6.68</v>
      </c>
      <c r="N33">
        <v>58</v>
      </c>
      <c r="O33">
        <v>176</v>
      </c>
      <c r="P33" s="3">
        <v>94.747573244443558</v>
      </c>
      <c r="Q33"/>
      <c r="R33"/>
      <c r="S33"/>
      <c r="T33"/>
      <c r="U33"/>
      <c r="V33"/>
      <c r="W33"/>
      <c r="X33"/>
      <c r="Y33"/>
    </row>
    <row r="34" spans="1:25" x14ac:dyDescent="0.25">
      <c r="A34"/>
      <c r="B34" s="2">
        <v>45750.875</v>
      </c>
      <c r="C34" s="1">
        <f t="shared" si="0"/>
        <v>204</v>
      </c>
      <c r="D34" s="1">
        <v>18.399999999999999</v>
      </c>
      <c r="E34" s="1">
        <v>997</v>
      </c>
      <c r="F34"/>
      <c r="G34"/>
      <c r="H34"/>
      <c r="I34"/>
      <c r="J34"/>
      <c r="K34"/>
      <c r="L34"/>
      <c r="M34"/>
      <c r="N34"/>
      <c r="O34"/>
      <c r="P34" s="3"/>
      <c r="Q34"/>
      <c r="R34"/>
      <c r="S34"/>
      <c r="T34"/>
      <c r="U34"/>
      <c r="V34"/>
      <c r="W34"/>
      <c r="X34"/>
      <c r="Y34"/>
    </row>
    <row r="35" spans="1:25" x14ac:dyDescent="0.25">
      <c r="A35"/>
      <c r="B35" s="2">
        <v>45751.125</v>
      </c>
      <c r="C35" s="1">
        <f t="shared" si="0"/>
        <v>210</v>
      </c>
      <c r="D35" s="1">
        <v>18.3</v>
      </c>
      <c r="E35" s="1">
        <v>996</v>
      </c>
      <c r="F35"/>
      <c r="G35"/>
      <c r="H35"/>
      <c r="I35"/>
      <c r="J35"/>
      <c r="K35"/>
      <c r="L35"/>
      <c r="M35"/>
      <c r="N35"/>
      <c r="O35"/>
      <c r="P35" s="3"/>
      <c r="Q35"/>
      <c r="R35"/>
      <c r="S35"/>
      <c r="T35"/>
      <c r="U35"/>
      <c r="V35"/>
      <c r="W35"/>
      <c r="X35"/>
      <c r="Y35"/>
    </row>
    <row r="36" spans="1:25" x14ac:dyDescent="0.25">
      <c r="A36" t="s">
        <v>74</v>
      </c>
      <c r="B36" s="2">
        <v>45751.375</v>
      </c>
      <c r="C36" s="1">
        <f t="shared" si="0"/>
        <v>216</v>
      </c>
      <c r="D36" s="1">
        <v>18.3</v>
      </c>
      <c r="E36" s="1">
        <v>996</v>
      </c>
      <c r="F36">
        <v>37.94</v>
      </c>
      <c r="G36">
        <v>0.19400000000000001</v>
      </c>
      <c r="H36">
        <v>0.06</v>
      </c>
      <c r="I36">
        <v>5.22</v>
      </c>
      <c r="J36">
        <v>10</v>
      </c>
      <c r="K36">
        <v>9</v>
      </c>
      <c r="L36">
        <v>17.38</v>
      </c>
      <c r="M36">
        <v>7.62</v>
      </c>
      <c r="N36">
        <v>67</v>
      </c>
      <c r="O36">
        <v>170</v>
      </c>
      <c r="P36" s="3">
        <v>95.311199999999999</v>
      </c>
      <c r="Q36"/>
      <c r="R36">
        <v>3.8621210741666669E-2</v>
      </c>
      <c r="S36">
        <v>4.14540058125E-3</v>
      </c>
      <c r="T36">
        <v>4.9952142916666661E-3</v>
      </c>
      <c r="U36">
        <v>0.15743192712500001</v>
      </c>
      <c r="V36">
        <v>6.3903380526371318</v>
      </c>
      <c r="W36">
        <v>4.6756056500000004E-2</v>
      </c>
      <c r="X36">
        <v>8.4286715541666668E-2</v>
      </c>
      <c r="Y36">
        <v>7.9066578105727894</v>
      </c>
    </row>
    <row r="37" spans="1:25" x14ac:dyDescent="0.25">
      <c r="R37"/>
      <c r="S37"/>
      <c r="T37"/>
      <c r="U37"/>
      <c r="V37"/>
      <c r="W37"/>
      <c r="X37"/>
      <c r="Y37"/>
    </row>
    <row r="38" spans="1:25" x14ac:dyDescent="0.25">
      <c r="R38"/>
      <c r="S38"/>
      <c r="T38"/>
      <c r="U38"/>
      <c r="V38"/>
      <c r="W38"/>
      <c r="X38"/>
      <c r="Y38"/>
    </row>
    <row r="39" spans="1:25" x14ac:dyDescent="0.25">
      <c r="R39"/>
      <c r="S39"/>
      <c r="T39"/>
      <c r="U39"/>
      <c r="V39"/>
      <c r="W39"/>
      <c r="X39"/>
      <c r="Y39"/>
    </row>
    <row r="40" spans="1:25" x14ac:dyDescent="0.25">
      <c r="R40"/>
      <c r="S40"/>
      <c r="T40"/>
      <c r="U40"/>
      <c r="V40"/>
      <c r="W40"/>
      <c r="X40"/>
      <c r="Y40"/>
    </row>
    <row r="41" spans="1:25" x14ac:dyDescent="0.25">
      <c r="R41"/>
      <c r="S41"/>
      <c r="T41"/>
      <c r="U41"/>
      <c r="V41"/>
      <c r="W41"/>
      <c r="X41"/>
      <c r="Y41"/>
    </row>
    <row r="42" spans="1:25" x14ac:dyDescent="0.25">
      <c r="R42"/>
      <c r="S42"/>
      <c r="T42"/>
      <c r="U42"/>
      <c r="V42"/>
      <c r="W42"/>
      <c r="X42"/>
      <c r="Y42"/>
    </row>
    <row r="43" spans="1:25" x14ac:dyDescent="0.25">
      <c r="R43"/>
      <c r="S43"/>
      <c r="T43"/>
      <c r="U43"/>
      <c r="V43"/>
      <c r="W43"/>
      <c r="X43"/>
      <c r="Y43"/>
    </row>
    <row r="44" spans="1:25" x14ac:dyDescent="0.25">
      <c r="R44"/>
      <c r="S44"/>
      <c r="T44"/>
      <c r="U44"/>
      <c r="V44"/>
      <c r="W44"/>
      <c r="X44"/>
      <c r="Y44"/>
    </row>
    <row r="45" spans="1:25" x14ac:dyDescent="0.25">
      <c r="R45"/>
      <c r="S45"/>
      <c r="T45"/>
      <c r="U45"/>
      <c r="V45"/>
      <c r="W45"/>
      <c r="X45"/>
      <c r="Y45"/>
    </row>
    <row r="46" spans="1:25" x14ac:dyDescent="0.25">
      <c r="R46"/>
      <c r="S46"/>
      <c r="T46"/>
      <c r="U46"/>
      <c r="V46"/>
      <c r="W46"/>
      <c r="X46"/>
      <c r="Y46"/>
    </row>
    <row r="47" spans="1:25" x14ac:dyDescent="0.25">
      <c r="R47"/>
      <c r="S47"/>
      <c r="T47"/>
      <c r="U47"/>
      <c r="V47"/>
      <c r="W47"/>
      <c r="X47"/>
      <c r="Y47"/>
    </row>
    <row r="48" spans="1:25" x14ac:dyDescent="0.25">
      <c r="R48"/>
      <c r="S48"/>
      <c r="T48"/>
      <c r="U48"/>
      <c r="V48"/>
      <c r="W48"/>
      <c r="X48"/>
      <c r="Y48"/>
    </row>
    <row r="49" spans="18:25" x14ac:dyDescent="0.25">
      <c r="R49"/>
      <c r="S49"/>
      <c r="T49"/>
      <c r="U49"/>
      <c r="V49"/>
      <c r="W49"/>
      <c r="X49"/>
      <c r="Y49"/>
    </row>
    <row r="50" spans="18:25" x14ac:dyDescent="0.25">
      <c r="R50"/>
      <c r="S50"/>
      <c r="T50"/>
      <c r="U50"/>
      <c r="V50"/>
      <c r="W50"/>
      <c r="X50"/>
      <c r="Y50"/>
    </row>
    <row r="51" spans="18:25" x14ac:dyDescent="0.25">
      <c r="R51"/>
      <c r="S51"/>
      <c r="T51"/>
      <c r="U51"/>
      <c r="V51"/>
      <c r="W51"/>
      <c r="X51"/>
      <c r="Y51"/>
    </row>
    <row r="52" spans="18:25" x14ac:dyDescent="0.25">
      <c r="R52"/>
      <c r="S52"/>
      <c r="T52"/>
      <c r="U52"/>
      <c r="V52"/>
      <c r="W52"/>
      <c r="X52"/>
      <c r="Y52"/>
    </row>
    <row r="53" spans="18:25" x14ac:dyDescent="0.25">
      <c r="R53"/>
      <c r="S53"/>
      <c r="T53"/>
      <c r="U53"/>
      <c r="V53"/>
      <c r="W53"/>
      <c r="X53"/>
      <c r="Y53"/>
    </row>
    <row r="54" spans="18:25" x14ac:dyDescent="0.25">
      <c r="R54"/>
      <c r="S54"/>
      <c r="T54"/>
      <c r="U54"/>
      <c r="V54"/>
      <c r="W54"/>
      <c r="X54"/>
      <c r="Y54"/>
    </row>
    <row r="55" spans="18:25" x14ac:dyDescent="0.25">
      <c r="R55"/>
      <c r="S55"/>
      <c r="T55"/>
      <c r="U55"/>
      <c r="V55"/>
      <c r="W55"/>
      <c r="X55"/>
      <c r="Y55"/>
    </row>
    <row r="56" spans="18:25" x14ac:dyDescent="0.25">
      <c r="R56"/>
      <c r="S56"/>
      <c r="T56"/>
      <c r="U56"/>
      <c r="V56"/>
      <c r="W56"/>
      <c r="X56"/>
      <c r="Y56"/>
    </row>
    <row r="57" spans="18:25" x14ac:dyDescent="0.25">
      <c r="R57"/>
      <c r="S57"/>
      <c r="T57"/>
      <c r="U57"/>
      <c r="V57"/>
      <c r="W57"/>
      <c r="X57"/>
      <c r="Y57"/>
    </row>
    <row r="58" spans="18:25" x14ac:dyDescent="0.25">
      <c r="R58"/>
      <c r="S58"/>
      <c r="T58"/>
      <c r="U58"/>
      <c r="V58"/>
      <c r="W58"/>
      <c r="X58"/>
      <c r="Y58"/>
    </row>
    <row r="59" spans="18:25" x14ac:dyDescent="0.25">
      <c r="R59"/>
      <c r="S59"/>
      <c r="T59"/>
      <c r="U59"/>
      <c r="V59"/>
      <c r="W59"/>
      <c r="X59"/>
      <c r="Y59"/>
    </row>
    <row r="60" spans="18:25" x14ac:dyDescent="0.25">
      <c r="R60"/>
      <c r="S60"/>
      <c r="T60"/>
      <c r="U60"/>
      <c r="V60"/>
      <c r="W60"/>
      <c r="X60"/>
      <c r="Y60"/>
    </row>
    <row r="61" spans="18:25" x14ac:dyDescent="0.25">
      <c r="R61"/>
      <c r="S61"/>
      <c r="T61"/>
      <c r="U61"/>
      <c r="V61"/>
      <c r="W61"/>
      <c r="X61"/>
      <c r="Y61"/>
    </row>
    <row r="62" spans="18:25" x14ac:dyDescent="0.25">
      <c r="R62"/>
      <c r="S62"/>
      <c r="T62"/>
      <c r="U62"/>
      <c r="V62"/>
      <c r="W62"/>
      <c r="X62"/>
      <c r="Y62"/>
    </row>
    <row r="63" spans="18:25" x14ac:dyDescent="0.25">
      <c r="R63"/>
      <c r="S63"/>
      <c r="T63"/>
      <c r="U63"/>
      <c r="V63"/>
      <c r="W63"/>
      <c r="X63"/>
      <c r="Y63"/>
    </row>
    <row r="64" spans="18:25" x14ac:dyDescent="0.25">
      <c r="R64"/>
      <c r="S64"/>
      <c r="T64"/>
      <c r="U64"/>
      <c r="V64"/>
      <c r="W64"/>
      <c r="X64"/>
      <c r="Y64"/>
    </row>
    <row r="65" spans="18:25" x14ac:dyDescent="0.25">
      <c r="R65"/>
      <c r="S65"/>
      <c r="T65"/>
      <c r="U65"/>
      <c r="V65"/>
      <c r="W65"/>
      <c r="X65"/>
      <c r="Y6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5"/>
  <sheetViews>
    <sheetView zoomScale="85" zoomScaleNormal="85" workbookViewId="0">
      <selection activeCell="R13" sqref="R13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2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</row>
    <row r="2" spans="1:25" x14ac:dyDescent="0.25">
      <c r="A2" t="s">
        <v>75</v>
      </c>
      <c r="B2" s="2">
        <v>45756.375</v>
      </c>
      <c r="C2" s="1">
        <v>0</v>
      </c>
      <c r="D2" s="1">
        <v>20.2</v>
      </c>
      <c r="E2" s="1">
        <v>1059</v>
      </c>
      <c r="F2">
        <v>12.37</v>
      </c>
      <c r="G2">
        <v>3.49E-2</v>
      </c>
      <c r="H2">
        <v>65.069999999999993</v>
      </c>
      <c r="I2">
        <v>67.569999999999993</v>
      </c>
      <c r="J2">
        <v>68</v>
      </c>
      <c r="K2">
        <v>32</v>
      </c>
      <c r="L2">
        <v>94.24</v>
      </c>
      <c r="M2">
        <v>2.68</v>
      </c>
      <c r="N2">
        <v>34</v>
      </c>
      <c r="O2">
        <v>210</v>
      </c>
      <c r="P2" s="3">
        <v>8.2734262352116055</v>
      </c>
      <c r="Q2">
        <v>50</v>
      </c>
      <c r="R2">
        <v>2.9902145083333335E-2</v>
      </c>
      <c r="S2">
        <v>2.0169008237499999E-3</v>
      </c>
      <c r="T2">
        <v>9.4241628000000003E-4</v>
      </c>
      <c r="U2">
        <v>2.7530981879166663E-2</v>
      </c>
      <c r="V2">
        <v>0.84613430866032602</v>
      </c>
      <c r="W2">
        <v>1.2935534429166668E-2</v>
      </c>
      <c r="X2">
        <v>1.8374877387499999E-2</v>
      </c>
      <c r="Y2">
        <v>2.1368610835745998</v>
      </c>
    </row>
    <row r="3" spans="1:25" x14ac:dyDescent="0.25">
      <c r="A3" t="s">
        <v>76</v>
      </c>
      <c r="B3" s="2">
        <v>45756.625</v>
      </c>
      <c r="C3" s="1">
        <v>6</v>
      </c>
      <c r="D3" s="1">
        <v>20.6</v>
      </c>
      <c r="E3" s="1">
        <v>1058</v>
      </c>
      <c r="F3">
        <v>16.510000000000002</v>
      </c>
      <c r="G3">
        <v>5.3199999999999997E-2</v>
      </c>
      <c r="H3">
        <v>68.180000000000007</v>
      </c>
      <c r="I3">
        <v>69.02</v>
      </c>
      <c r="J3">
        <v>61</v>
      </c>
      <c r="K3">
        <v>24</v>
      </c>
      <c r="L3">
        <v>80.680000000000007</v>
      </c>
      <c r="M3">
        <v>2.89</v>
      </c>
      <c r="N3">
        <v>37</v>
      </c>
      <c r="O3">
        <v>236</v>
      </c>
      <c r="P3" s="3">
        <v>10.358487509368954</v>
      </c>
      <c r="Q3"/>
      <c r="R3"/>
      <c r="S3"/>
      <c r="T3"/>
      <c r="U3"/>
      <c r="V3"/>
      <c r="W3"/>
      <c r="X3"/>
      <c r="Y3"/>
    </row>
    <row r="4" spans="1:25" x14ac:dyDescent="0.25">
      <c r="A4"/>
      <c r="B4" s="2">
        <v>45756.875</v>
      </c>
      <c r="C4" s="1">
        <f t="shared" ref="C4:C31" si="0">(B4-B3)*24+C3</f>
        <v>12</v>
      </c>
      <c r="D4" s="1">
        <v>20.8</v>
      </c>
      <c r="E4" s="1">
        <v>1055</v>
      </c>
      <c r="F4"/>
      <c r="G4"/>
      <c r="H4"/>
      <c r="I4"/>
      <c r="J4"/>
      <c r="K4"/>
      <c r="L4"/>
      <c r="M4"/>
      <c r="N4"/>
      <c r="O4"/>
      <c r="P4" s="3"/>
      <c r="Q4"/>
      <c r="R4"/>
      <c r="S4"/>
      <c r="T4"/>
      <c r="U4"/>
      <c r="V4"/>
      <c r="W4"/>
      <c r="X4"/>
      <c r="Y4"/>
    </row>
    <row r="5" spans="1:25" x14ac:dyDescent="0.25">
      <c r="A5"/>
      <c r="B5" s="2">
        <v>45757.125</v>
      </c>
      <c r="C5" s="1">
        <f t="shared" si="0"/>
        <v>18</v>
      </c>
      <c r="D5" s="1">
        <v>20.9</v>
      </c>
      <c r="E5" s="1">
        <v>1052</v>
      </c>
      <c r="F5"/>
      <c r="G5"/>
      <c r="H5"/>
      <c r="I5"/>
      <c r="J5"/>
      <c r="K5"/>
      <c r="L5"/>
      <c r="M5"/>
      <c r="N5"/>
      <c r="O5"/>
      <c r="P5" s="3"/>
      <c r="Q5"/>
      <c r="R5"/>
      <c r="S5"/>
      <c r="T5"/>
      <c r="U5"/>
      <c r="V5"/>
      <c r="W5"/>
      <c r="X5"/>
      <c r="Y5"/>
    </row>
    <row r="6" spans="1:25" x14ac:dyDescent="0.25">
      <c r="A6" t="s">
        <v>77</v>
      </c>
      <c r="B6" s="2">
        <v>45757.375</v>
      </c>
      <c r="C6" s="1">
        <f t="shared" si="0"/>
        <v>24</v>
      </c>
      <c r="D6" s="1">
        <v>20.6</v>
      </c>
      <c r="E6" s="1">
        <v>1049</v>
      </c>
      <c r="F6">
        <v>29.42</v>
      </c>
      <c r="G6">
        <v>8.9800000000000005E-2</v>
      </c>
      <c r="H6">
        <v>49.04</v>
      </c>
      <c r="I6">
        <v>57.25</v>
      </c>
      <c r="J6">
        <v>18</v>
      </c>
      <c r="K6">
        <v>3</v>
      </c>
      <c r="L6">
        <v>20.46</v>
      </c>
      <c r="M6">
        <v>3.78</v>
      </c>
      <c r="N6">
        <v>76</v>
      </c>
      <c r="O6">
        <v>235</v>
      </c>
      <c r="P6" s="3">
        <v>21.746628505230223</v>
      </c>
      <c r="Q6" s="1">
        <v>100</v>
      </c>
      <c r="R6">
        <v>3.1048916179166667E-2</v>
      </c>
      <c r="S6">
        <v>2.2347583995833333E-3</v>
      </c>
      <c r="T6">
        <v>2.9790431029166664E-4</v>
      </c>
      <c r="U6">
        <v>6.6448713041666663E-2</v>
      </c>
      <c r="V6">
        <v>1.395278934633668</v>
      </c>
      <c r="W6">
        <v>1.9647674858333335E-2</v>
      </c>
      <c r="X6">
        <v>3.73147883125E-2</v>
      </c>
      <c r="Y6">
        <v>3.7414848772110001</v>
      </c>
    </row>
    <row r="7" spans="1:25" x14ac:dyDescent="0.25">
      <c r="A7" t="s">
        <v>78</v>
      </c>
      <c r="B7" s="2">
        <v>45757.625</v>
      </c>
      <c r="C7" s="1">
        <f t="shared" si="0"/>
        <v>30</v>
      </c>
      <c r="D7" s="1">
        <v>20.8</v>
      </c>
      <c r="E7" s="1">
        <v>1044</v>
      </c>
      <c r="F7">
        <v>40.549999999999997</v>
      </c>
      <c r="G7">
        <v>2.8799999999999999E-2</v>
      </c>
      <c r="H7">
        <v>43.14</v>
      </c>
      <c r="I7">
        <v>55.99</v>
      </c>
      <c r="J7">
        <v>24</v>
      </c>
      <c r="K7">
        <v>20</v>
      </c>
      <c r="L7">
        <v>40.4</v>
      </c>
      <c r="M7">
        <v>4.2</v>
      </c>
      <c r="N7">
        <v>89</v>
      </c>
      <c r="O7">
        <v>230</v>
      </c>
      <c r="P7" s="3">
        <v>28.766031901769253</v>
      </c>
      <c r="Q7"/>
      <c r="R7"/>
      <c r="S7"/>
      <c r="T7"/>
      <c r="U7"/>
      <c r="V7"/>
      <c r="W7"/>
      <c r="X7"/>
      <c r="Y7"/>
    </row>
    <row r="8" spans="1:25" x14ac:dyDescent="0.25">
      <c r="A8"/>
      <c r="B8" s="2">
        <v>45757.875</v>
      </c>
      <c r="C8" s="1">
        <f t="shared" si="0"/>
        <v>36</v>
      </c>
      <c r="D8" s="1">
        <v>20.3</v>
      </c>
      <c r="E8" s="1">
        <v>1038</v>
      </c>
      <c r="F8"/>
      <c r="G8"/>
      <c r="H8"/>
      <c r="I8"/>
      <c r="J8"/>
      <c r="K8"/>
      <c r="L8"/>
      <c r="M8"/>
      <c r="N8"/>
      <c r="O8"/>
      <c r="P8" s="3"/>
      <c r="Q8"/>
      <c r="R8"/>
      <c r="S8"/>
      <c r="T8"/>
      <c r="U8"/>
      <c r="V8"/>
      <c r="W8"/>
      <c r="X8"/>
      <c r="Y8"/>
    </row>
    <row r="9" spans="1:25" x14ac:dyDescent="0.25">
      <c r="A9"/>
      <c r="B9" s="2">
        <v>45758.125</v>
      </c>
      <c r="C9" s="1">
        <f t="shared" si="0"/>
        <v>42</v>
      </c>
      <c r="D9" s="1">
        <v>20</v>
      </c>
      <c r="E9" s="1">
        <v>1032</v>
      </c>
      <c r="F9"/>
      <c r="G9"/>
      <c r="H9"/>
      <c r="I9"/>
      <c r="J9"/>
      <c r="K9"/>
      <c r="L9"/>
      <c r="M9"/>
      <c r="N9"/>
      <c r="O9"/>
      <c r="P9" s="3"/>
      <c r="Q9"/>
      <c r="R9"/>
      <c r="S9"/>
      <c r="T9"/>
      <c r="U9"/>
      <c r="V9"/>
      <c r="W9"/>
      <c r="X9"/>
      <c r="Y9"/>
    </row>
    <row r="10" spans="1:25" x14ac:dyDescent="0.25">
      <c r="A10" t="s">
        <v>79</v>
      </c>
      <c r="B10" s="2">
        <v>45758.375</v>
      </c>
      <c r="C10" s="1">
        <f t="shared" si="0"/>
        <v>48</v>
      </c>
      <c r="D10" s="1">
        <v>20.7</v>
      </c>
      <c r="E10" s="1">
        <v>1029</v>
      </c>
      <c r="F10">
        <v>41.55</v>
      </c>
      <c r="G10">
        <v>0.2319</v>
      </c>
      <c r="H10">
        <v>23.88</v>
      </c>
      <c r="I10">
        <v>43.84</v>
      </c>
      <c r="J10">
        <v>11</v>
      </c>
      <c r="K10">
        <v>4</v>
      </c>
      <c r="L10">
        <v>14.28</v>
      </c>
      <c r="M10">
        <v>5.45</v>
      </c>
      <c r="N10"/>
      <c r="O10">
        <v>210</v>
      </c>
      <c r="P10" s="3">
        <v>48.937588038118655</v>
      </c>
      <c r="Q10"/>
      <c r="R10">
        <v>3.5217898912499997E-2</v>
      </c>
      <c r="S10">
        <v>3.2134548662499998E-2</v>
      </c>
      <c r="T10">
        <v>2.7832249270833337E-3</v>
      </c>
      <c r="U10">
        <v>0.13220591704166665</v>
      </c>
      <c r="V10">
        <v>4.2356908632646917</v>
      </c>
      <c r="W10">
        <v>3.7575049866666675E-2</v>
      </c>
      <c r="X10">
        <v>4.576121041666667E-2</v>
      </c>
      <c r="Y10">
        <v>6.6421235185940599</v>
      </c>
    </row>
    <row r="11" spans="1:25" x14ac:dyDescent="0.25">
      <c r="A11" t="s">
        <v>80</v>
      </c>
      <c r="B11" s="2">
        <v>45758.625</v>
      </c>
      <c r="C11" s="1">
        <f t="shared" si="0"/>
        <v>54</v>
      </c>
      <c r="D11" s="1">
        <v>21</v>
      </c>
      <c r="E11" s="1">
        <v>1025</v>
      </c>
      <c r="F11">
        <v>72.349999999999994</v>
      </c>
      <c r="G11">
        <v>0.21870000000000001</v>
      </c>
      <c r="H11">
        <v>17.350000000000001</v>
      </c>
      <c r="I11">
        <v>45.26</v>
      </c>
      <c r="J11">
        <v>11</v>
      </c>
      <c r="K11">
        <v>3</v>
      </c>
      <c r="L11">
        <v>13.46</v>
      </c>
      <c r="M11">
        <v>5.84</v>
      </c>
      <c r="N11">
        <v>77</v>
      </c>
      <c r="O11">
        <v>213</v>
      </c>
      <c r="P11" s="3">
        <v>52.439963820385593</v>
      </c>
      <c r="Q11"/>
      <c r="R11"/>
      <c r="S11"/>
      <c r="T11"/>
      <c r="U11"/>
      <c r="V11"/>
      <c r="W11"/>
      <c r="X11"/>
      <c r="Y11"/>
    </row>
    <row r="12" spans="1:25" x14ac:dyDescent="0.25">
      <c r="A12"/>
      <c r="B12" s="2">
        <v>45758.875</v>
      </c>
      <c r="C12" s="1">
        <f t="shared" si="0"/>
        <v>60</v>
      </c>
      <c r="D12" s="1">
        <v>20.399999999999999</v>
      </c>
      <c r="E12" s="1">
        <v>1021</v>
      </c>
      <c r="F12"/>
      <c r="G12"/>
      <c r="H12"/>
      <c r="I12"/>
      <c r="J12"/>
      <c r="K12"/>
      <c r="L12"/>
      <c r="M12"/>
      <c r="N12"/>
      <c r="O12"/>
      <c r="P12" s="3"/>
      <c r="Q12"/>
      <c r="R12"/>
      <c r="S12"/>
      <c r="T12"/>
      <c r="U12"/>
      <c r="V12"/>
      <c r="W12"/>
      <c r="X12"/>
      <c r="Y12"/>
    </row>
    <row r="13" spans="1:25" x14ac:dyDescent="0.25">
      <c r="A13"/>
      <c r="B13" s="2">
        <v>45759.125</v>
      </c>
      <c r="C13" s="1">
        <f t="shared" si="0"/>
        <v>66</v>
      </c>
      <c r="D13" s="1">
        <v>20</v>
      </c>
      <c r="E13" s="1">
        <v>1018</v>
      </c>
      <c r="F13"/>
      <c r="G13"/>
      <c r="H13"/>
      <c r="I13"/>
      <c r="J13"/>
      <c r="K13"/>
      <c r="L13"/>
      <c r="M13"/>
      <c r="N13"/>
      <c r="O13"/>
      <c r="P13" s="3"/>
      <c r="Q13"/>
      <c r="R13"/>
      <c r="S13"/>
      <c r="T13"/>
      <c r="U13"/>
      <c r="V13"/>
      <c r="W13"/>
      <c r="X13"/>
      <c r="Y13"/>
    </row>
    <row r="14" spans="1:25" x14ac:dyDescent="0.25">
      <c r="A14" t="s">
        <v>81</v>
      </c>
      <c r="B14" s="2">
        <v>45759.375</v>
      </c>
      <c r="C14" s="1">
        <f t="shared" si="0"/>
        <v>72</v>
      </c>
      <c r="D14" s="1">
        <v>19.5</v>
      </c>
      <c r="E14" s="1">
        <v>1016</v>
      </c>
      <c r="F14">
        <v>48.77</v>
      </c>
      <c r="G14">
        <v>0.20319999999999999</v>
      </c>
      <c r="H14">
        <v>10.87</v>
      </c>
      <c r="I14">
        <v>29.35</v>
      </c>
      <c r="J14">
        <v>10</v>
      </c>
      <c r="K14">
        <v>3</v>
      </c>
      <c r="L14">
        <v>12.46</v>
      </c>
      <c r="M14">
        <v>6.33</v>
      </c>
      <c r="N14">
        <v>76</v>
      </c>
      <c r="O14">
        <v>199</v>
      </c>
      <c r="P14" s="3">
        <v>65.423585162880897</v>
      </c>
      <c r="Q14"/>
      <c r="R14">
        <v>3.7664512924999997E-2</v>
      </c>
      <c r="S14">
        <v>3.8889298933333328E-3</v>
      </c>
      <c r="T14">
        <v>5.6496352916666666E-3</v>
      </c>
      <c r="U14">
        <v>0.18864481591666665</v>
      </c>
      <c r="V14">
        <v>5.1829076322575869</v>
      </c>
      <c r="W14">
        <v>3.9889624466666669E-2</v>
      </c>
      <c r="X14">
        <v>9.3389500208333323E-2</v>
      </c>
      <c r="Y14">
        <v>7.9040625430869147</v>
      </c>
    </row>
    <row r="15" spans="1:25" x14ac:dyDescent="0.25">
      <c r="A15"/>
      <c r="B15" s="2">
        <v>45759.625</v>
      </c>
      <c r="C15" s="1">
        <f t="shared" si="0"/>
        <v>78</v>
      </c>
      <c r="D15" s="1">
        <v>21</v>
      </c>
      <c r="E15" s="1">
        <v>1014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25" x14ac:dyDescent="0.25">
      <c r="A16"/>
      <c r="B16" s="2">
        <v>45759.875</v>
      </c>
      <c r="C16" s="1">
        <f t="shared" si="0"/>
        <v>84</v>
      </c>
      <c r="D16" s="1">
        <v>20.9</v>
      </c>
      <c r="E16" s="1">
        <v>1011</v>
      </c>
      <c r="F16"/>
      <c r="G16"/>
      <c r="H16"/>
      <c r="I16"/>
      <c r="J16"/>
      <c r="K16"/>
      <c r="L16"/>
      <c r="M16"/>
      <c r="N16"/>
      <c r="O16"/>
      <c r="P16" s="3"/>
      <c r="Q16"/>
      <c r="R16"/>
      <c r="S16"/>
      <c r="T16"/>
      <c r="U16"/>
      <c r="V16"/>
      <c r="W16"/>
      <c r="X16"/>
      <c r="Y16"/>
    </row>
    <row r="17" spans="1:25" x14ac:dyDescent="0.25">
      <c r="A17"/>
      <c r="B17" s="2">
        <v>45760.125</v>
      </c>
      <c r="C17" s="1">
        <f t="shared" si="0"/>
        <v>90</v>
      </c>
      <c r="D17" s="1">
        <v>20.5</v>
      </c>
      <c r="E17" s="1">
        <v>1009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</row>
    <row r="18" spans="1:25" x14ac:dyDescent="0.25">
      <c r="A18"/>
      <c r="B18" s="2">
        <v>45760.375</v>
      </c>
      <c r="C18" s="1">
        <f t="shared" si="0"/>
        <v>96</v>
      </c>
      <c r="D18" s="1">
        <v>20.2</v>
      </c>
      <c r="E18" s="1">
        <v>1008</v>
      </c>
      <c r="F18"/>
      <c r="G18"/>
      <c r="H18"/>
      <c r="I18"/>
      <c r="J18"/>
      <c r="K18"/>
      <c r="L18"/>
      <c r="M18"/>
      <c r="N18"/>
      <c r="O18"/>
      <c r="P18" s="3"/>
      <c r="Q18"/>
      <c r="R18"/>
      <c r="S18"/>
      <c r="T18"/>
      <c r="U18"/>
      <c r="V18"/>
      <c r="W18"/>
      <c r="X18"/>
      <c r="Y18"/>
    </row>
    <row r="19" spans="1:25" x14ac:dyDescent="0.25">
      <c r="A19" t="s">
        <v>82</v>
      </c>
      <c r="B19" s="2">
        <v>45760.625</v>
      </c>
      <c r="C19" s="1">
        <f t="shared" si="0"/>
        <v>102</v>
      </c>
      <c r="D19" s="1">
        <v>21</v>
      </c>
      <c r="E19" s="1">
        <v>1006</v>
      </c>
      <c r="F19">
        <v>68.97</v>
      </c>
      <c r="G19">
        <v>0.3286</v>
      </c>
      <c r="H19">
        <v>4.8899999999999997</v>
      </c>
      <c r="I19">
        <v>16.399999999999999</v>
      </c>
      <c r="J19">
        <v>10</v>
      </c>
      <c r="K19">
        <v>4</v>
      </c>
      <c r="L19">
        <v>13.28</v>
      </c>
      <c r="M19">
        <v>6.83</v>
      </c>
      <c r="N19">
        <v>80</v>
      </c>
      <c r="O19">
        <v>185</v>
      </c>
      <c r="P19" s="3">
        <v>78.230198329984091</v>
      </c>
      <c r="Q19"/>
      <c r="R19"/>
      <c r="S19"/>
      <c r="T19"/>
      <c r="U19"/>
      <c r="V19"/>
      <c r="W19"/>
      <c r="X19"/>
      <c r="Y19"/>
    </row>
    <row r="20" spans="1:25" x14ac:dyDescent="0.25">
      <c r="A20"/>
      <c r="B20" s="2">
        <v>45760.875</v>
      </c>
      <c r="C20" s="1">
        <f t="shared" si="0"/>
        <v>108</v>
      </c>
      <c r="D20" s="1">
        <v>20</v>
      </c>
      <c r="E20" s="1">
        <v>1003</v>
      </c>
      <c r="F20"/>
      <c r="G20"/>
      <c r="H20"/>
      <c r="I20"/>
      <c r="J20"/>
      <c r="K20"/>
      <c r="L20"/>
      <c r="M20"/>
      <c r="N20"/>
      <c r="O20"/>
      <c r="P20" s="3"/>
      <c r="Q20"/>
      <c r="R20"/>
      <c r="S20"/>
      <c r="T20"/>
      <c r="U20"/>
      <c r="V20"/>
      <c r="W20"/>
      <c r="X20"/>
      <c r="Y20"/>
    </row>
    <row r="21" spans="1:25" x14ac:dyDescent="0.25">
      <c r="A21"/>
      <c r="B21" s="2">
        <v>45761.125</v>
      </c>
      <c r="C21" s="1">
        <f t="shared" si="0"/>
        <v>114</v>
      </c>
      <c r="D21" s="1">
        <v>20.100000000000001</v>
      </c>
      <c r="E21" s="1">
        <v>1003</v>
      </c>
      <c r="F21"/>
      <c r="G21"/>
      <c r="H21"/>
      <c r="I21"/>
      <c r="J21"/>
      <c r="K21"/>
      <c r="L21"/>
      <c r="M21"/>
      <c r="N21"/>
      <c r="O21"/>
      <c r="P21" s="3"/>
      <c r="Q21"/>
      <c r="R21"/>
      <c r="S21"/>
      <c r="T21"/>
      <c r="U21"/>
      <c r="V21"/>
      <c r="W21"/>
      <c r="X21"/>
      <c r="Y21"/>
    </row>
    <row r="22" spans="1:25" x14ac:dyDescent="0.25">
      <c r="A22" t="s">
        <v>83</v>
      </c>
      <c r="B22" s="2">
        <v>45761.375</v>
      </c>
      <c r="C22" s="1">
        <f t="shared" si="0"/>
        <v>120</v>
      </c>
      <c r="D22" s="1">
        <v>19.600000000000001</v>
      </c>
      <c r="E22" s="1">
        <v>1003</v>
      </c>
      <c r="F22">
        <v>50.31</v>
      </c>
      <c r="G22">
        <v>0.26869999999999999</v>
      </c>
      <c r="H22">
        <v>0.63</v>
      </c>
      <c r="I22">
        <v>15.13</v>
      </c>
      <c r="J22">
        <v>11</v>
      </c>
      <c r="K22">
        <v>0</v>
      </c>
      <c r="L22">
        <v>11</v>
      </c>
      <c r="M22">
        <v>6.33</v>
      </c>
      <c r="N22">
        <v>56</v>
      </c>
      <c r="O22">
        <v>184</v>
      </c>
      <c r="P22" s="3">
        <v>83.630403235268403</v>
      </c>
      <c r="Q22"/>
      <c r="R22"/>
      <c r="S22"/>
      <c r="T22"/>
      <c r="U22"/>
      <c r="V22"/>
      <c r="W22"/>
      <c r="X22"/>
      <c r="Y22"/>
    </row>
    <row r="23" spans="1:25" x14ac:dyDescent="0.25">
      <c r="A23" t="s">
        <v>84</v>
      </c>
      <c r="B23" s="2">
        <v>45761.625</v>
      </c>
      <c r="C23" s="1">
        <f t="shared" si="0"/>
        <v>126</v>
      </c>
      <c r="D23" s="1">
        <v>20.3</v>
      </c>
      <c r="E23" s="1">
        <v>1002</v>
      </c>
      <c r="F23">
        <v>69.510000000000005</v>
      </c>
      <c r="G23">
        <v>0.19450000000000001</v>
      </c>
      <c r="H23">
        <v>0.36</v>
      </c>
      <c r="I23">
        <v>10.89</v>
      </c>
      <c r="J23">
        <v>10</v>
      </c>
      <c r="K23">
        <v>0</v>
      </c>
      <c r="L23">
        <v>10</v>
      </c>
      <c r="M23">
        <v>6.55</v>
      </c>
      <c r="N23">
        <v>58</v>
      </c>
      <c r="O23">
        <v>188</v>
      </c>
      <c r="P23" s="3">
        <v>86.344827659962817</v>
      </c>
      <c r="Q23"/>
      <c r="R23">
        <v>3.5022408179166672E-2</v>
      </c>
      <c r="S23">
        <v>3.7663449875000002E-3</v>
      </c>
      <c r="T23">
        <v>9.5914623166666667E-4</v>
      </c>
      <c r="U23">
        <v>0.14041663912500002</v>
      </c>
      <c r="V23">
        <v>5.0154477631254348</v>
      </c>
      <c r="W23">
        <v>2.90355183E-2</v>
      </c>
      <c r="X23">
        <v>9.6125193958333341E-2</v>
      </c>
      <c r="Y23">
        <v>5.9081338882181598</v>
      </c>
    </row>
    <row r="24" spans="1:25" x14ac:dyDescent="0.25">
      <c r="A24"/>
      <c r="B24" s="2">
        <v>45761.875</v>
      </c>
      <c r="C24" s="1">
        <f t="shared" si="0"/>
        <v>132</v>
      </c>
      <c r="D24" s="1">
        <v>20</v>
      </c>
      <c r="E24" s="1">
        <v>999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</row>
    <row r="25" spans="1:25" x14ac:dyDescent="0.25">
      <c r="A25"/>
      <c r="B25" s="2">
        <v>45762.125</v>
      </c>
      <c r="C25" s="1">
        <f t="shared" si="0"/>
        <v>138</v>
      </c>
      <c r="D25" s="1">
        <v>19.8</v>
      </c>
      <c r="E25" s="1">
        <v>998</v>
      </c>
      <c r="F25"/>
      <c r="G25"/>
      <c r="H25"/>
      <c r="I25"/>
      <c r="J25"/>
      <c r="K25"/>
      <c r="L25"/>
      <c r="M25"/>
      <c r="N25"/>
      <c r="O25"/>
      <c r="P25" s="3"/>
      <c r="Q25"/>
      <c r="R25"/>
      <c r="S25"/>
      <c r="T25"/>
      <c r="U25"/>
      <c r="V25"/>
      <c r="W25"/>
      <c r="X25"/>
      <c r="Y25"/>
    </row>
    <row r="26" spans="1:25" x14ac:dyDescent="0.25">
      <c r="A26" t="s">
        <v>85</v>
      </c>
      <c r="B26" s="2">
        <v>45762.375</v>
      </c>
      <c r="C26" s="1">
        <f t="shared" si="0"/>
        <v>144</v>
      </c>
      <c r="D26" s="1">
        <v>19.8</v>
      </c>
      <c r="E26" s="1">
        <v>998</v>
      </c>
      <c r="F26">
        <v>57.53</v>
      </c>
      <c r="G26">
        <v>0.21010000000000001</v>
      </c>
      <c r="H26">
        <v>0.19</v>
      </c>
      <c r="I26">
        <v>6.99</v>
      </c>
      <c r="J26">
        <v>10</v>
      </c>
      <c r="K26">
        <v>0</v>
      </c>
      <c r="L26">
        <v>10</v>
      </c>
      <c r="M26">
        <v>6.71</v>
      </c>
      <c r="N26">
        <v>55</v>
      </c>
      <c r="O26">
        <v>183</v>
      </c>
      <c r="P26" s="3">
        <v>88.250639434142414</v>
      </c>
      <c r="Q26"/>
      <c r="R26"/>
      <c r="S26"/>
      <c r="T26"/>
      <c r="U26"/>
      <c r="V26"/>
      <c r="W26"/>
      <c r="X26"/>
      <c r="Y26"/>
    </row>
    <row r="27" spans="1:25" x14ac:dyDescent="0.25">
      <c r="A27" t="s">
        <v>86</v>
      </c>
      <c r="B27" s="2">
        <v>45762.625</v>
      </c>
      <c r="C27" s="1">
        <f t="shared" si="0"/>
        <v>150</v>
      </c>
      <c r="D27" s="1">
        <v>19.899999999999999</v>
      </c>
      <c r="E27" s="1">
        <v>998</v>
      </c>
      <c r="F27">
        <v>59.45</v>
      </c>
      <c r="G27">
        <v>0.25480000000000003</v>
      </c>
      <c r="H27">
        <v>0.43</v>
      </c>
      <c r="I27">
        <v>5.57</v>
      </c>
      <c r="J27">
        <v>10</v>
      </c>
      <c r="K27">
        <v>0</v>
      </c>
      <c r="L27">
        <v>10</v>
      </c>
      <c r="M27">
        <v>6.42</v>
      </c>
      <c r="N27">
        <v>62</v>
      </c>
      <c r="O27">
        <v>186</v>
      </c>
      <c r="P27" s="3">
        <v>90.981426563303259</v>
      </c>
      <c r="Q27"/>
      <c r="R27"/>
      <c r="S27"/>
      <c r="T27"/>
      <c r="U27"/>
      <c r="V27"/>
      <c r="W27"/>
      <c r="X27"/>
      <c r="Y27"/>
    </row>
    <row r="28" spans="1:25" x14ac:dyDescent="0.25">
      <c r="A28"/>
      <c r="B28" s="2">
        <v>45762.875</v>
      </c>
      <c r="C28" s="1">
        <f t="shared" si="0"/>
        <v>156</v>
      </c>
      <c r="D28" s="1">
        <v>19.5</v>
      </c>
      <c r="E28" s="1">
        <v>996</v>
      </c>
      <c r="F28"/>
      <c r="G28"/>
      <c r="H28"/>
      <c r="I28"/>
      <c r="J28"/>
      <c r="K28"/>
      <c r="L28"/>
      <c r="M28"/>
      <c r="N28"/>
      <c r="O28"/>
      <c r="P28" s="3"/>
      <c r="Q28"/>
      <c r="R28"/>
      <c r="S28"/>
      <c r="T28"/>
      <c r="U28"/>
      <c r="V28"/>
      <c r="W28"/>
      <c r="X28"/>
      <c r="Y28"/>
    </row>
    <row r="29" spans="1:25" x14ac:dyDescent="0.25">
      <c r="A29"/>
      <c r="B29" s="2">
        <v>45763.125</v>
      </c>
      <c r="C29" s="1">
        <f t="shared" si="0"/>
        <v>162</v>
      </c>
      <c r="D29" s="1">
        <v>20.9</v>
      </c>
      <c r="E29" s="1">
        <v>994</v>
      </c>
      <c r="F29"/>
      <c r="G29"/>
      <c r="H29"/>
      <c r="I29"/>
      <c r="J29"/>
      <c r="K29"/>
      <c r="L29"/>
      <c r="M29"/>
      <c r="N29"/>
      <c r="O29"/>
      <c r="P29" s="3"/>
      <c r="Q29"/>
      <c r="R29"/>
      <c r="S29"/>
      <c r="T29"/>
      <c r="U29"/>
      <c r="V29"/>
      <c r="W29"/>
      <c r="X29"/>
      <c r="Y29"/>
    </row>
    <row r="30" spans="1:25" x14ac:dyDescent="0.25">
      <c r="A30" t="s">
        <v>87</v>
      </c>
      <c r="B30" s="2">
        <v>45763.375</v>
      </c>
      <c r="C30" s="1">
        <f t="shared" si="0"/>
        <v>168</v>
      </c>
      <c r="D30" s="1">
        <v>21.6</v>
      </c>
      <c r="E30" s="1">
        <v>995</v>
      </c>
      <c r="F30">
        <v>38.79</v>
      </c>
      <c r="G30">
        <v>0.22189999999999999</v>
      </c>
      <c r="H30">
        <v>0.08</v>
      </c>
      <c r="I30">
        <v>2.23</v>
      </c>
      <c r="J30">
        <v>10</v>
      </c>
      <c r="K30">
        <v>0</v>
      </c>
      <c r="L30">
        <v>10</v>
      </c>
      <c r="M30">
        <v>6.78</v>
      </c>
      <c r="N30">
        <v>47</v>
      </c>
      <c r="O30">
        <v>177</v>
      </c>
      <c r="P30" s="3">
        <v>91.665635146822993</v>
      </c>
      <c r="Q30"/>
      <c r="R30"/>
      <c r="S30"/>
      <c r="T30"/>
      <c r="U30"/>
      <c r="V30"/>
      <c r="W30"/>
      <c r="X30"/>
      <c r="Y30"/>
    </row>
    <row r="31" spans="1:25" x14ac:dyDescent="0.25">
      <c r="A31" t="s">
        <v>88</v>
      </c>
      <c r="B31" s="2">
        <v>45763.625</v>
      </c>
      <c r="C31" s="1">
        <f t="shared" si="0"/>
        <v>174</v>
      </c>
      <c r="D31" s="1">
        <v>20.7</v>
      </c>
      <c r="E31" s="1">
        <v>995</v>
      </c>
      <c r="F31">
        <v>47.16</v>
      </c>
      <c r="G31">
        <v>0.22170000000000001</v>
      </c>
      <c r="H31">
        <v>0.08</v>
      </c>
      <c r="I31">
        <v>1.57</v>
      </c>
      <c r="J31">
        <v>10</v>
      </c>
      <c r="K31">
        <v>0</v>
      </c>
      <c r="L31">
        <v>10</v>
      </c>
      <c r="M31">
        <v>6.57</v>
      </c>
      <c r="N31">
        <v>49</v>
      </c>
      <c r="O31">
        <v>185</v>
      </c>
      <c r="P31" s="3">
        <v>94.522199999999998</v>
      </c>
      <c r="Q31"/>
      <c r="R31">
        <v>3.6937679508333335E-2</v>
      </c>
      <c r="S31">
        <v>4.4654258708333337E-3</v>
      </c>
      <c r="T31">
        <v>5.0435182875000007E-3</v>
      </c>
      <c r="U31">
        <v>0.15815050924999999</v>
      </c>
      <c r="V31">
        <v>6.6579364845306381</v>
      </c>
      <c r="W31">
        <v>5.2451552500000005E-2</v>
      </c>
      <c r="X31">
        <v>9.3484028125000007E-2</v>
      </c>
      <c r="Y31">
        <v>8.508377718257778</v>
      </c>
    </row>
    <row r="32" spans="1:25" x14ac:dyDescent="0.25">
      <c r="R32"/>
      <c r="S32"/>
      <c r="T32"/>
      <c r="U32"/>
      <c r="V32"/>
      <c r="W32"/>
      <c r="X32"/>
      <c r="Y32"/>
    </row>
    <row r="33" spans="18:25" x14ac:dyDescent="0.25">
      <c r="R33"/>
      <c r="S33"/>
      <c r="T33"/>
      <c r="U33"/>
      <c r="V33"/>
      <c r="W33"/>
      <c r="X33"/>
      <c r="Y33"/>
    </row>
    <row r="34" spans="18:25" x14ac:dyDescent="0.25">
      <c r="R34"/>
      <c r="S34"/>
      <c r="T34"/>
      <c r="U34"/>
      <c r="V34"/>
      <c r="W34"/>
      <c r="X34"/>
      <c r="Y34"/>
    </row>
    <row r="35" spans="18:25" x14ac:dyDescent="0.25">
      <c r="R35"/>
      <c r="S35"/>
      <c r="T35"/>
      <c r="U35"/>
      <c r="V35"/>
      <c r="W35"/>
      <c r="X35"/>
      <c r="Y35"/>
    </row>
    <row r="36" spans="18:25" x14ac:dyDescent="0.25">
      <c r="R36"/>
      <c r="S36"/>
      <c r="T36"/>
      <c r="U36"/>
      <c r="V36"/>
      <c r="W36"/>
      <c r="X36"/>
      <c r="Y36"/>
    </row>
    <row r="37" spans="18:25" x14ac:dyDescent="0.25">
      <c r="R37"/>
      <c r="S37"/>
      <c r="T37"/>
      <c r="U37"/>
      <c r="V37"/>
      <c r="W37"/>
      <c r="X37"/>
      <c r="Y37"/>
    </row>
    <row r="38" spans="18:25" x14ac:dyDescent="0.25">
      <c r="R38"/>
      <c r="S38"/>
      <c r="T38"/>
      <c r="U38"/>
      <c r="V38"/>
      <c r="W38"/>
      <c r="X38"/>
      <c r="Y38"/>
    </row>
    <row r="39" spans="18:25" x14ac:dyDescent="0.25">
      <c r="R39"/>
      <c r="S39"/>
      <c r="T39"/>
      <c r="U39"/>
      <c r="V39"/>
      <c r="W39"/>
      <c r="X39"/>
      <c r="Y39"/>
    </row>
    <row r="40" spans="18:25" x14ac:dyDescent="0.25">
      <c r="R40"/>
      <c r="S40"/>
      <c r="T40"/>
      <c r="U40"/>
      <c r="V40"/>
      <c r="W40"/>
      <c r="X40"/>
      <c r="Y40"/>
    </row>
    <row r="41" spans="18:25" x14ac:dyDescent="0.25">
      <c r="R41"/>
      <c r="S41"/>
      <c r="T41"/>
      <c r="U41"/>
      <c r="V41"/>
      <c r="W41"/>
      <c r="X41"/>
      <c r="Y41"/>
    </row>
    <row r="42" spans="18:25" x14ac:dyDescent="0.25">
      <c r="R42"/>
      <c r="S42"/>
      <c r="T42"/>
      <c r="U42"/>
      <c r="V42"/>
      <c r="W42"/>
      <c r="X42"/>
      <c r="Y42"/>
    </row>
    <row r="43" spans="18:25" x14ac:dyDescent="0.25">
      <c r="R43"/>
      <c r="S43"/>
      <c r="T43"/>
      <c r="U43"/>
      <c r="V43"/>
      <c r="W43"/>
      <c r="X43"/>
      <c r="Y43"/>
    </row>
    <row r="44" spans="18:25" x14ac:dyDescent="0.25">
      <c r="R44"/>
      <c r="S44"/>
      <c r="T44"/>
      <c r="U44"/>
      <c r="V44"/>
      <c r="W44"/>
      <c r="X44"/>
      <c r="Y44"/>
    </row>
    <row r="45" spans="18:25" x14ac:dyDescent="0.25">
      <c r="R45"/>
      <c r="S45"/>
      <c r="T45"/>
      <c r="U45"/>
      <c r="V45"/>
      <c r="W45"/>
      <c r="X45"/>
      <c r="Y45"/>
    </row>
    <row r="46" spans="18:25" x14ac:dyDescent="0.25">
      <c r="R46"/>
      <c r="S46"/>
      <c r="T46"/>
      <c r="U46"/>
      <c r="V46"/>
      <c r="W46"/>
      <c r="X46"/>
      <c r="Y46"/>
    </row>
    <row r="47" spans="18:25" x14ac:dyDescent="0.25">
      <c r="R47"/>
      <c r="S47"/>
      <c r="T47"/>
      <c r="U47"/>
      <c r="V47"/>
      <c r="W47"/>
      <c r="X47"/>
      <c r="Y47"/>
    </row>
    <row r="48" spans="18:25" x14ac:dyDescent="0.25">
      <c r="R48"/>
      <c r="S48"/>
      <c r="T48"/>
      <c r="U48"/>
      <c r="V48"/>
      <c r="W48"/>
      <c r="X48"/>
      <c r="Y48"/>
    </row>
    <row r="49" spans="18:25" x14ac:dyDescent="0.25">
      <c r="R49"/>
      <c r="S49"/>
      <c r="T49"/>
      <c r="U49"/>
      <c r="V49"/>
      <c r="W49"/>
      <c r="X49"/>
      <c r="Y49"/>
    </row>
    <row r="50" spans="18:25" x14ac:dyDescent="0.25">
      <c r="R50"/>
      <c r="S50"/>
      <c r="T50"/>
      <c r="U50"/>
      <c r="V50"/>
      <c r="W50"/>
      <c r="X50"/>
      <c r="Y50"/>
    </row>
    <row r="51" spans="18:25" x14ac:dyDescent="0.25">
      <c r="R51"/>
      <c r="S51"/>
      <c r="T51"/>
      <c r="U51"/>
      <c r="V51"/>
      <c r="W51"/>
      <c r="X51"/>
      <c r="Y51"/>
    </row>
    <row r="52" spans="18:25" x14ac:dyDescent="0.25">
      <c r="R52"/>
      <c r="S52"/>
      <c r="T52"/>
      <c r="U52"/>
      <c r="V52"/>
      <c r="W52"/>
      <c r="X52"/>
      <c r="Y52"/>
    </row>
    <row r="53" spans="18:25" x14ac:dyDescent="0.25">
      <c r="R53"/>
      <c r="S53"/>
      <c r="T53"/>
      <c r="U53"/>
      <c r="V53"/>
      <c r="W53"/>
      <c r="X53"/>
      <c r="Y53"/>
    </row>
    <row r="54" spans="18:25" x14ac:dyDescent="0.25">
      <c r="R54"/>
      <c r="S54"/>
      <c r="T54"/>
      <c r="U54"/>
      <c r="V54"/>
      <c r="W54"/>
      <c r="X54"/>
      <c r="Y54"/>
    </row>
    <row r="55" spans="18:25" x14ac:dyDescent="0.25">
      <c r="R55"/>
      <c r="S55"/>
      <c r="T55"/>
      <c r="U55"/>
      <c r="V55"/>
      <c r="W55"/>
      <c r="X55"/>
      <c r="Y55"/>
    </row>
    <row r="56" spans="18:25" x14ac:dyDescent="0.25">
      <c r="R56"/>
      <c r="S56"/>
      <c r="T56"/>
      <c r="U56"/>
      <c r="V56"/>
      <c r="W56"/>
      <c r="X56"/>
      <c r="Y56"/>
    </row>
    <row r="57" spans="18:25" x14ac:dyDescent="0.25">
      <c r="R57"/>
      <c r="S57"/>
      <c r="T57"/>
      <c r="U57"/>
      <c r="V57"/>
      <c r="W57"/>
      <c r="X57"/>
      <c r="Y57"/>
    </row>
    <row r="58" spans="18:25" x14ac:dyDescent="0.25">
      <c r="R58"/>
      <c r="S58"/>
      <c r="T58"/>
      <c r="U58"/>
      <c r="V58"/>
      <c r="W58"/>
      <c r="X58"/>
      <c r="Y58"/>
    </row>
    <row r="59" spans="18:25" x14ac:dyDescent="0.25">
      <c r="R59"/>
      <c r="S59"/>
      <c r="T59"/>
      <c r="U59"/>
      <c r="V59"/>
      <c r="W59"/>
      <c r="X59"/>
      <c r="Y59"/>
    </row>
    <row r="60" spans="18:25" x14ac:dyDescent="0.25">
      <c r="R60"/>
      <c r="S60"/>
      <c r="T60"/>
      <c r="U60"/>
      <c r="V60"/>
      <c r="W60"/>
      <c r="X60"/>
      <c r="Y60"/>
    </row>
    <row r="61" spans="18:25" x14ac:dyDescent="0.25">
      <c r="R61"/>
      <c r="S61"/>
      <c r="T61"/>
      <c r="U61"/>
      <c r="V61"/>
      <c r="W61"/>
      <c r="X61"/>
      <c r="Y61"/>
    </row>
    <row r="62" spans="18:25" x14ac:dyDescent="0.25">
      <c r="R62"/>
      <c r="S62"/>
      <c r="T62"/>
      <c r="U62"/>
      <c r="V62"/>
      <c r="W62"/>
      <c r="X62"/>
      <c r="Y62"/>
    </row>
    <row r="63" spans="18:25" x14ac:dyDescent="0.25">
      <c r="R63"/>
      <c r="S63"/>
      <c r="T63"/>
      <c r="U63"/>
      <c r="V63"/>
      <c r="W63"/>
      <c r="X63"/>
      <c r="Y63"/>
    </row>
    <row r="64" spans="18:25" x14ac:dyDescent="0.25">
      <c r="R64"/>
      <c r="S64"/>
      <c r="T64"/>
      <c r="U64"/>
      <c r="V64"/>
      <c r="W64"/>
      <c r="X64"/>
      <c r="Y64"/>
    </row>
    <row r="65" spans="18:25" x14ac:dyDescent="0.25">
      <c r="R65"/>
      <c r="S65"/>
      <c r="T65"/>
      <c r="U65"/>
      <c r="V65"/>
      <c r="W65"/>
      <c r="X65"/>
      <c r="Y6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65"/>
  <sheetViews>
    <sheetView zoomScale="85" zoomScaleNormal="85" workbookViewId="0">
      <selection activeCell="Q3" sqref="Q3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26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</row>
    <row r="2" spans="1:26" x14ac:dyDescent="0.25">
      <c r="A2" t="s">
        <v>89</v>
      </c>
      <c r="B2" s="2">
        <v>45756.375</v>
      </c>
      <c r="C2" s="1">
        <v>0</v>
      </c>
      <c r="D2" s="1">
        <v>20.100000000000001</v>
      </c>
      <c r="E2" s="1">
        <v>1059</v>
      </c>
      <c r="F2">
        <v>21.16</v>
      </c>
      <c r="G2">
        <v>1.72E-2</v>
      </c>
      <c r="H2">
        <v>63.2</v>
      </c>
      <c r="I2">
        <v>73.599999999999994</v>
      </c>
      <c r="J2">
        <v>67</v>
      </c>
      <c r="K2">
        <v>29</v>
      </c>
      <c r="L2">
        <v>90.78</v>
      </c>
      <c r="M2">
        <v>2.87</v>
      </c>
      <c r="N2">
        <v>43</v>
      </c>
      <c r="O2">
        <v>217</v>
      </c>
      <c r="P2" s="3">
        <v>8.2731387955484834</v>
      </c>
      <c r="Q2">
        <v>50</v>
      </c>
      <c r="R2">
        <v>2.9952836358333332E-2</v>
      </c>
      <c r="S2">
        <v>1.8809845395833331E-3</v>
      </c>
      <c r="T2">
        <v>6.1642401166666662E-4</v>
      </c>
      <c r="U2">
        <v>2.493003655833333E-2</v>
      </c>
      <c r="V2">
        <v>0.87750717575674797</v>
      </c>
      <c r="W2">
        <v>1.1556563158333335E-2</v>
      </c>
      <c r="X2">
        <v>1.4123352775000002E-2</v>
      </c>
      <c r="Y2">
        <v>2.17809913219592</v>
      </c>
    </row>
    <row r="3" spans="1:26" x14ac:dyDescent="0.25">
      <c r="A3" t="s">
        <v>90</v>
      </c>
      <c r="B3" s="2">
        <v>45756.625</v>
      </c>
      <c r="C3" s="1">
        <v>6</v>
      </c>
      <c r="D3" s="1">
        <v>20.8</v>
      </c>
      <c r="E3" s="1">
        <v>1058</v>
      </c>
      <c r="F3">
        <v>15.67</v>
      </c>
      <c r="G3">
        <v>4.0399999999999998E-2</v>
      </c>
      <c r="H3">
        <v>63.03</v>
      </c>
      <c r="I3">
        <v>73.38</v>
      </c>
      <c r="J3">
        <v>60</v>
      </c>
      <c r="K3">
        <v>25</v>
      </c>
      <c r="L3">
        <v>80.5</v>
      </c>
      <c r="M3">
        <v>3.09</v>
      </c>
      <c r="N3">
        <v>54</v>
      </c>
      <c r="O3">
        <v>236</v>
      </c>
      <c r="P3" s="3">
        <v>10.725946544733628</v>
      </c>
      <c r="Q3"/>
      <c r="R3"/>
      <c r="S3"/>
      <c r="T3"/>
      <c r="U3"/>
      <c r="V3"/>
      <c r="W3"/>
      <c r="X3"/>
      <c r="Y3"/>
    </row>
    <row r="4" spans="1:26" x14ac:dyDescent="0.25">
      <c r="A4"/>
      <c r="B4" s="2">
        <v>45756.875</v>
      </c>
      <c r="C4" s="1">
        <f t="shared" ref="C4:C31" si="0">(B4-B3)*24+C3</f>
        <v>12</v>
      </c>
      <c r="D4" s="1">
        <v>21</v>
      </c>
      <c r="E4" s="1">
        <v>1054</v>
      </c>
      <c r="F4"/>
      <c r="G4"/>
      <c r="H4"/>
      <c r="I4"/>
      <c r="J4"/>
      <c r="K4"/>
      <c r="L4"/>
      <c r="M4"/>
      <c r="N4"/>
      <c r="O4"/>
      <c r="P4" s="3"/>
      <c r="Q4"/>
      <c r="R4"/>
      <c r="S4"/>
      <c r="T4"/>
      <c r="U4"/>
      <c r="V4"/>
      <c r="W4"/>
      <c r="X4"/>
      <c r="Y4"/>
    </row>
    <row r="5" spans="1:26" x14ac:dyDescent="0.25">
      <c r="A5"/>
      <c r="B5" s="2">
        <v>45757.125</v>
      </c>
      <c r="C5" s="1">
        <f t="shared" si="0"/>
        <v>18</v>
      </c>
      <c r="D5" s="1">
        <v>21.1</v>
      </c>
      <c r="E5" s="1">
        <v>1052</v>
      </c>
      <c r="F5"/>
      <c r="G5"/>
      <c r="H5"/>
      <c r="I5"/>
      <c r="J5"/>
      <c r="K5"/>
      <c r="L5"/>
      <c r="M5"/>
      <c r="N5"/>
      <c r="O5"/>
      <c r="P5" s="3"/>
      <c r="Q5"/>
      <c r="R5"/>
      <c r="S5"/>
      <c r="T5"/>
      <c r="U5"/>
      <c r="V5"/>
      <c r="W5"/>
      <c r="X5"/>
      <c r="Y5"/>
    </row>
    <row r="6" spans="1:26" x14ac:dyDescent="0.25">
      <c r="A6" t="s">
        <v>91</v>
      </c>
      <c r="B6" s="2">
        <v>45757.375</v>
      </c>
      <c r="C6" s="1">
        <f t="shared" si="0"/>
        <v>24</v>
      </c>
      <c r="D6" s="1">
        <v>21.1</v>
      </c>
      <c r="E6" s="1">
        <v>1049</v>
      </c>
      <c r="F6">
        <v>33.56</v>
      </c>
      <c r="G6">
        <v>9.0999999999999998E-2</v>
      </c>
      <c r="H6">
        <v>46</v>
      </c>
      <c r="I6">
        <v>64.98</v>
      </c>
      <c r="J6">
        <v>16</v>
      </c>
      <c r="K6">
        <v>3</v>
      </c>
      <c r="L6">
        <v>18.46</v>
      </c>
      <c r="M6">
        <v>3.92</v>
      </c>
      <c r="N6">
        <v>78</v>
      </c>
      <c r="O6">
        <v>235</v>
      </c>
      <c r="P6" s="3">
        <v>23.489782926179544</v>
      </c>
      <c r="Q6" s="1">
        <v>100</v>
      </c>
      <c r="R6">
        <v>2.6522432966666669E-2</v>
      </c>
      <c r="S6">
        <v>1.8453101070833335E-3</v>
      </c>
      <c r="T6">
        <v>0</v>
      </c>
      <c r="U6">
        <v>4.3730894833333332E-2</v>
      </c>
      <c r="V6">
        <v>1.2620023930018227</v>
      </c>
      <c r="W6">
        <v>1.1813801725E-2</v>
      </c>
      <c r="X6">
        <v>2.6535161074999997E-2</v>
      </c>
      <c r="Y6">
        <v>2.8512795142660896</v>
      </c>
    </row>
    <row r="7" spans="1:26" x14ac:dyDescent="0.25">
      <c r="A7" t="s">
        <v>92</v>
      </c>
      <c r="B7" s="2">
        <v>45757.625</v>
      </c>
      <c r="C7" s="1">
        <f t="shared" si="0"/>
        <v>30</v>
      </c>
      <c r="D7" s="1">
        <v>20.3</v>
      </c>
      <c r="E7" s="1">
        <v>1043</v>
      </c>
      <c r="F7">
        <v>31.49</v>
      </c>
      <c r="G7">
        <v>0.1012</v>
      </c>
      <c r="H7">
        <v>38.840000000000003</v>
      </c>
      <c r="I7">
        <v>60.25</v>
      </c>
      <c r="J7">
        <v>19</v>
      </c>
      <c r="K7">
        <v>19</v>
      </c>
      <c r="L7">
        <v>34.58</v>
      </c>
      <c r="M7">
        <v>4.26</v>
      </c>
      <c r="N7">
        <v>98</v>
      </c>
      <c r="O7">
        <v>230</v>
      </c>
      <c r="P7" s="3">
        <v>30.397357983306676</v>
      </c>
      <c r="Q7"/>
      <c r="R7"/>
      <c r="S7"/>
      <c r="T7"/>
      <c r="U7"/>
      <c r="V7"/>
      <c r="W7"/>
      <c r="X7"/>
      <c r="Y7"/>
    </row>
    <row r="8" spans="1:26" x14ac:dyDescent="0.25">
      <c r="A8"/>
      <c r="B8" s="2">
        <v>45757.875</v>
      </c>
      <c r="C8" s="1">
        <f t="shared" si="0"/>
        <v>36</v>
      </c>
      <c r="D8" s="1">
        <v>20.5</v>
      </c>
      <c r="E8" s="1">
        <v>1037</v>
      </c>
      <c r="F8"/>
      <c r="G8"/>
      <c r="H8"/>
      <c r="I8"/>
      <c r="J8"/>
      <c r="K8"/>
      <c r="L8"/>
      <c r="M8"/>
      <c r="N8"/>
      <c r="O8"/>
      <c r="P8" s="3"/>
      <c r="Q8"/>
      <c r="R8"/>
      <c r="S8"/>
      <c r="T8"/>
      <c r="U8"/>
      <c r="V8"/>
      <c r="W8"/>
      <c r="X8"/>
      <c r="Y8"/>
      <c r="Z8" s="6"/>
    </row>
    <row r="9" spans="1:26" x14ac:dyDescent="0.25">
      <c r="A9"/>
      <c r="B9" s="2">
        <v>45758.125</v>
      </c>
      <c r="C9" s="1">
        <f t="shared" si="0"/>
        <v>42</v>
      </c>
      <c r="D9" s="1">
        <v>20</v>
      </c>
      <c r="E9" s="1">
        <v>1032</v>
      </c>
      <c r="F9"/>
      <c r="G9"/>
      <c r="H9"/>
      <c r="I9"/>
      <c r="J9"/>
      <c r="K9"/>
      <c r="L9"/>
      <c r="M9"/>
      <c r="N9"/>
      <c r="O9"/>
      <c r="P9" s="3"/>
      <c r="Q9"/>
      <c r="R9"/>
      <c r="S9"/>
      <c r="T9"/>
      <c r="U9"/>
      <c r="V9"/>
      <c r="W9"/>
      <c r="X9"/>
      <c r="Y9"/>
      <c r="Z9" s="6"/>
    </row>
    <row r="10" spans="1:26" x14ac:dyDescent="0.25">
      <c r="A10" t="s">
        <v>93</v>
      </c>
      <c r="B10" s="2">
        <v>45758.375</v>
      </c>
      <c r="C10" s="1">
        <f t="shared" si="0"/>
        <v>48</v>
      </c>
      <c r="D10" s="1">
        <v>20.7</v>
      </c>
      <c r="E10" s="1">
        <v>1027</v>
      </c>
      <c r="F10">
        <v>40.090000000000003</v>
      </c>
      <c r="G10">
        <v>0.19439999999999999</v>
      </c>
      <c r="H10">
        <v>23.28</v>
      </c>
      <c r="I10">
        <v>44.24</v>
      </c>
      <c r="J10">
        <v>10</v>
      </c>
      <c r="K10">
        <v>3</v>
      </c>
      <c r="L10">
        <v>12.46</v>
      </c>
      <c r="M10">
        <v>5.59</v>
      </c>
      <c r="N10"/>
      <c r="O10">
        <v>212</v>
      </c>
      <c r="P10" s="3">
        <v>50.607126397980778</v>
      </c>
      <c r="Q10"/>
      <c r="R10">
        <v>3.4299019987499998E-2</v>
      </c>
      <c r="S10">
        <v>4.6468619791666665E-3</v>
      </c>
      <c r="T10">
        <v>2.87108225125E-3</v>
      </c>
      <c r="U10">
        <v>0.12448396529166667</v>
      </c>
      <c r="V10">
        <v>4.2197629215782513</v>
      </c>
      <c r="W10">
        <v>3.5103090300000001E-2</v>
      </c>
      <c r="X10">
        <v>7.9568068083333332E-2</v>
      </c>
      <c r="Y10">
        <v>6.2840866840221707</v>
      </c>
    </row>
    <row r="11" spans="1:26" x14ac:dyDescent="0.25">
      <c r="A11" t="s">
        <v>94</v>
      </c>
      <c r="B11" s="2">
        <v>45758.625</v>
      </c>
      <c r="C11" s="1">
        <f t="shared" si="0"/>
        <v>54</v>
      </c>
      <c r="D11" s="1">
        <v>20.7</v>
      </c>
      <c r="E11" s="1">
        <v>1023</v>
      </c>
      <c r="F11">
        <v>74.42</v>
      </c>
      <c r="G11">
        <v>0.16819999999999999</v>
      </c>
      <c r="H11">
        <v>16.55</v>
      </c>
      <c r="I11">
        <v>43.45</v>
      </c>
      <c r="J11">
        <v>10</v>
      </c>
      <c r="K11">
        <v>10</v>
      </c>
      <c r="L11">
        <v>18.2</v>
      </c>
      <c r="M11">
        <v>5.85</v>
      </c>
      <c r="N11">
        <v>81</v>
      </c>
      <c r="O11">
        <v>201</v>
      </c>
      <c r="P11" s="3">
        <v>53.334976286111221</v>
      </c>
      <c r="Q11"/>
      <c r="R11"/>
      <c r="S11"/>
      <c r="T11"/>
      <c r="U11"/>
      <c r="V11"/>
      <c r="W11"/>
      <c r="X11"/>
      <c r="Y11"/>
      <c r="Z11" s="6"/>
    </row>
    <row r="12" spans="1:26" x14ac:dyDescent="0.25">
      <c r="A12"/>
      <c r="B12" s="2">
        <v>45758.875</v>
      </c>
      <c r="C12" s="1">
        <f t="shared" si="0"/>
        <v>60</v>
      </c>
      <c r="D12" s="1">
        <v>20.5</v>
      </c>
      <c r="E12" s="1">
        <v>1020</v>
      </c>
      <c r="F12"/>
      <c r="G12"/>
      <c r="H12"/>
      <c r="I12"/>
      <c r="J12"/>
      <c r="K12"/>
      <c r="L12"/>
      <c r="M12"/>
      <c r="N12"/>
      <c r="O12"/>
      <c r="P12" s="3"/>
      <c r="Q12"/>
      <c r="R12"/>
      <c r="S12"/>
      <c r="T12"/>
      <c r="U12"/>
      <c r="V12"/>
      <c r="W12"/>
      <c r="X12"/>
      <c r="Y12"/>
      <c r="Z12" s="6"/>
    </row>
    <row r="13" spans="1:26" x14ac:dyDescent="0.25">
      <c r="A13"/>
      <c r="B13" s="2">
        <v>45759.125</v>
      </c>
      <c r="C13" s="1">
        <f t="shared" si="0"/>
        <v>66</v>
      </c>
      <c r="D13" s="1">
        <v>20.100000000000001</v>
      </c>
      <c r="E13" s="1">
        <v>1017</v>
      </c>
      <c r="F13"/>
      <c r="G13"/>
      <c r="H13"/>
      <c r="I13"/>
      <c r="J13"/>
      <c r="K13"/>
      <c r="L13"/>
      <c r="M13"/>
      <c r="N13"/>
      <c r="O13"/>
      <c r="P13" s="3"/>
      <c r="Q13"/>
      <c r="R13"/>
      <c r="S13"/>
      <c r="T13"/>
      <c r="U13"/>
      <c r="V13"/>
      <c r="W13"/>
      <c r="X13"/>
      <c r="Y13"/>
      <c r="Z13" s="6"/>
    </row>
    <row r="14" spans="1:26" x14ac:dyDescent="0.25">
      <c r="A14" t="s">
        <v>95</v>
      </c>
      <c r="B14" s="2">
        <v>45759.375</v>
      </c>
      <c r="C14" s="1">
        <f t="shared" si="0"/>
        <v>72</v>
      </c>
      <c r="D14" s="1">
        <v>20</v>
      </c>
      <c r="E14" s="1">
        <v>1015</v>
      </c>
      <c r="F14">
        <v>55.99</v>
      </c>
      <c r="G14">
        <v>0.16339999999999999</v>
      </c>
      <c r="H14">
        <v>7.46</v>
      </c>
      <c r="I14">
        <v>32.380000000000003</v>
      </c>
      <c r="J14">
        <v>10</v>
      </c>
      <c r="K14">
        <v>4</v>
      </c>
      <c r="L14">
        <v>13.28</v>
      </c>
      <c r="M14">
        <v>6.34</v>
      </c>
      <c r="N14">
        <v>65</v>
      </c>
      <c r="O14">
        <v>198</v>
      </c>
      <c r="P14" s="3">
        <v>66.46232379673198</v>
      </c>
      <c r="Q14"/>
      <c r="R14">
        <v>3.29723593375E-2</v>
      </c>
      <c r="S14">
        <v>3.8245404041666667E-3</v>
      </c>
      <c r="T14">
        <v>5.0224325791666663E-3</v>
      </c>
      <c r="U14">
        <v>0.16565346495833336</v>
      </c>
      <c r="V14">
        <v>6.0242309905417102</v>
      </c>
      <c r="W14">
        <v>3.9503421954166666E-2</v>
      </c>
      <c r="X14">
        <v>8.9099713708333333E-2</v>
      </c>
      <c r="Y14">
        <v>7.0611566414224525</v>
      </c>
    </row>
    <row r="15" spans="1:26" x14ac:dyDescent="0.25">
      <c r="A15"/>
      <c r="B15" s="2">
        <v>45759.625</v>
      </c>
      <c r="C15" s="1">
        <f t="shared" si="0"/>
        <v>78</v>
      </c>
      <c r="D15" s="1">
        <v>21.2</v>
      </c>
      <c r="E15" s="1">
        <v>1013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  <c r="Z15" s="6"/>
    </row>
    <row r="16" spans="1:26" x14ac:dyDescent="0.25">
      <c r="A16"/>
      <c r="B16" s="2">
        <v>45759.875</v>
      </c>
      <c r="C16" s="1">
        <f t="shared" si="0"/>
        <v>84</v>
      </c>
      <c r="D16" s="1">
        <v>20.8</v>
      </c>
      <c r="E16" s="1">
        <v>1010</v>
      </c>
      <c r="F16"/>
      <c r="G16"/>
      <c r="H16"/>
      <c r="I16"/>
      <c r="J16"/>
      <c r="K16"/>
      <c r="L16"/>
      <c r="M16"/>
      <c r="N16"/>
      <c r="O16"/>
      <c r="P16" s="3"/>
      <c r="Q16"/>
      <c r="R16"/>
      <c r="S16"/>
      <c r="T16"/>
      <c r="U16"/>
      <c r="V16"/>
      <c r="W16"/>
      <c r="X16"/>
      <c r="Y16"/>
      <c r="Z16" s="6"/>
    </row>
    <row r="17" spans="1:26" x14ac:dyDescent="0.25">
      <c r="A17"/>
      <c r="B17" s="2">
        <v>45760.125</v>
      </c>
      <c r="C17" s="1">
        <f t="shared" si="0"/>
        <v>90</v>
      </c>
      <c r="D17" s="1">
        <v>20.5</v>
      </c>
      <c r="E17" s="1">
        <v>1008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  <c r="Z17" s="6"/>
    </row>
    <row r="18" spans="1:26" x14ac:dyDescent="0.25">
      <c r="A18"/>
      <c r="B18" s="2">
        <v>45760.375</v>
      </c>
      <c r="C18" s="1">
        <f t="shared" si="0"/>
        <v>96</v>
      </c>
      <c r="D18" s="1">
        <v>20.100000000000001</v>
      </c>
      <c r="E18" s="1">
        <v>1007</v>
      </c>
      <c r="F18"/>
      <c r="G18"/>
      <c r="H18"/>
      <c r="I18"/>
      <c r="J18"/>
      <c r="K18"/>
      <c r="L18"/>
      <c r="M18"/>
      <c r="N18"/>
      <c r="O18"/>
      <c r="P18" s="3"/>
      <c r="Q18"/>
      <c r="R18"/>
      <c r="S18"/>
      <c r="T18"/>
      <c r="U18"/>
      <c r="V18"/>
      <c r="W18"/>
      <c r="X18"/>
      <c r="Y18"/>
      <c r="Z18" s="6"/>
    </row>
    <row r="19" spans="1:26" x14ac:dyDescent="0.25">
      <c r="A19" t="s">
        <v>96</v>
      </c>
      <c r="B19" s="2">
        <v>45760.625</v>
      </c>
      <c r="C19" s="1">
        <f t="shared" si="0"/>
        <v>102</v>
      </c>
      <c r="D19" s="1">
        <v>21.3</v>
      </c>
      <c r="E19" s="1">
        <v>1005</v>
      </c>
      <c r="F19">
        <v>72.27</v>
      </c>
      <c r="G19">
        <v>0.26840000000000003</v>
      </c>
      <c r="H19">
        <v>1.55</v>
      </c>
      <c r="I19">
        <v>16.96</v>
      </c>
      <c r="J19">
        <v>9</v>
      </c>
      <c r="K19">
        <v>10</v>
      </c>
      <c r="L19">
        <v>17.2</v>
      </c>
      <c r="M19">
        <v>6.8</v>
      </c>
      <c r="N19">
        <v>55</v>
      </c>
      <c r="O19">
        <v>189</v>
      </c>
      <c r="P19" s="3">
        <v>80.225714252983764</v>
      </c>
      <c r="Q19"/>
      <c r="R19"/>
      <c r="S19"/>
      <c r="T19"/>
      <c r="U19"/>
      <c r="V19"/>
      <c r="W19"/>
      <c r="X19"/>
      <c r="Y19"/>
      <c r="Z19" s="6"/>
    </row>
    <row r="20" spans="1:26" x14ac:dyDescent="0.25">
      <c r="A20"/>
      <c r="B20" s="2">
        <v>45760.875</v>
      </c>
      <c r="C20" s="1">
        <f t="shared" si="0"/>
        <v>108</v>
      </c>
      <c r="D20" s="1">
        <v>20</v>
      </c>
      <c r="E20" s="1">
        <v>1002</v>
      </c>
      <c r="F20"/>
      <c r="G20"/>
      <c r="H20"/>
      <c r="I20"/>
      <c r="J20"/>
      <c r="K20"/>
      <c r="L20"/>
      <c r="M20"/>
      <c r="N20"/>
      <c r="O20"/>
      <c r="P20" s="3"/>
      <c r="Q20"/>
      <c r="R20"/>
      <c r="S20"/>
      <c r="T20"/>
      <c r="U20"/>
      <c r="V20"/>
      <c r="W20"/>
      <c r="X20"/>
      <c r="Y20"/>
      <c r="Z20" s="6"/>
    </row>
    <row r="21" spans="1:26" x14ac:dyDescent="0.25">
      <c r="A21"/>
      <c r="B21" s="2">
        <v>45761.125</v>
      </c>
      <c r="C21" s="1">
        <f t="shared" si="0"/>
        <v>114</v>
      </c>
      <c r="D21" s="1">
        <v>20.5</v>
      </c>
      <c r="E21" s="1">
        <v>1002</v>
      </c>
      <c r="F21"/>
      <c r="G21"/>
      <c r="H21"/>
      <c r="I21"/>
      <c r="J21"/>
      <c r="K21"/>
      <c r="L21"/>
      <c r="M21"/>
      <c r="N21"/>
      <c r="O21"/>
      <c r="P21" s="3"/>
      <c r="Q21"/>
      <c r="R21"/>
      <c r="S21"/>
      <c r="T21"/>
      <c r="U21"/>
      <c r="V21"/>
      <c r="W21"/>
      <c r="X21"/>
      <c r="Y21"/>
      <c r="Z21" s="6"/>
    </row>
    <row r="22" spans="1:26" x14ac:dyDescent="0.25">
      <c r="A22" t="s">
        <v>97</v>
      </c>
      <c r="B22" s="2">
        <v>45761.375</v>
      </c>
      <c r="C22" s="1">
        <f t="shared" si="0"/>
        <v>120</v>
      </c>
      <c r="D22" s="1">
        <v>19.8</v>
      </c>
      <c r="E22" s="1">
        <v>1001</v>
      </c>
      <c r="F22">
        <v>57.99</v>
      </c>
      <c r="G22">
        <v>0.2399</v>
      </c>
      <c r="H22">
        <v>0.59</v>
      </c>
      <c r="I22">
        <v>13.81</v>
      </c>
      <c r="J22">
        <v>10</v>
      </c>
      <c r="K22">
        <v>0</v>
      </c>
      <c r="L22">
        <v>10</v>
      </c>
      <c r="M22">
        <v>6.7</v>
      </c>
      <c r="N22">
        <v>59</v>
      </c>
      <c r="O22">
        <v>187</v>
      </c>
      <c r="P22" s="3">
        <v>85.095330788582828</v>
      </c>
      <c r="Q22"/>
      <c r="R22"/>
      <c r="S22"/>
      <c r="T22"/>
      <c r="U22"/>
      <c r="V22"/>
      <c r="W22"/>
      <c r="X22"/>
      <c r="Y22"/>
      <c r="Z22" s="6"/>
    </row>
    <row r="23" spans="1:26" x14ac:dyDescent="0.25">
      <c r="A23" t="s">
        <v>98</v>
      </c>
      <c r="B23" s="2">
        <v>45761.625</v>
      </c>
      <c r="C23" s="1">
        <f t="shared" si="0"/>
        <v>126</v>
      </c>
      <c r="D23" s="1">
        <v>20.2</v>
      </c>
      <c r="E23" s="1">
        <v>1001</v>
      </c>
      <c r="F23">
        <v>90.94</v>
      </c>
      <c r="G23">
        <v>0.22819999999999999</v>
      </c>
      <c r="H23">
        <v>0.44</v>
      </c>
      <c r="I23">
        <v>12.46</v>
      </c>
      <c r="J23">
        <v>11</v>
      </c>
      <c r="K23">
        <v>0</v>
      </c>
      <c r="L23">
        <v>11</v>
      </c>
      <c r="M23">
        <v>6.49</v>
      </c>
      <c r="N23">
        <v>65</v>
      </c>
      <c r="O23">
        <v>181</v>
      </c>
      <c r="P23" s="3">
        <v>87.133486924373045</v>
      </c>
      <c r="Q23"/>
      <c r="R23">
        <v>3.6585256600000005E-2</v>
      </c>
      <c r="S23">
        <v>3.3088945041666665E-3</v>
      </c>
      <c r="T23">
        <v>1.8681799670833333E-3</v>
      </c>
      <c r="U23">
        <v>0.15052857533333333</v>
      </c>
      <c r="V23">
        <v>6.7649751484705067</v>
      </c>
      <c r="W23">
        <v>3.1733220729166664E-2</v>
      </c>
      <c r="X23">
        <v>0.10158637141666667</v>
      </c>
      <c r="Y23">
        <v>7.5035392349170653</v>
      </c>
    </row>
    <row r="24" spans="1:26" x14ac:dyDescent="0.25">
      <c r="A24"/>
      <c r="B24" s="2">
        <v>45761.875</v>
      </c>
      <c r="C24" s="1">
        <f t="shared" si="0"/>
        <v>132</v>
      </c>
      <c r="D24" s="1">
        <v>19.7</v>
      </c>
      <c r="E24" s="1">
        <v>999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  <c r="Z24" s="6"/>
    </row>
    <row r="25" spans="1:26" x14ac:dyDescent="0.25">
      <c r="A25"/>
      <c r="B25" s="2">
        <v>45762.125</v>
      </c>
      <c r="C25" s="1">
        <f t="shared" si="0"/>
        <v>138</v>
      </c>
      <c r="D25" s="1">
        <v>19.8</v>
      </c>
      <c r="E25" s="1">
        <v>998</v>
      </c>
      <c r="F25"/>
      <c r="G25"/>
      <c r="H25"/>
      <c r="I25"/>
      <c r="J25"/>
      <c r="K25"/>
      <c r="L25"/>
      <c r="M25"/>
      <c r="N25"/>
      <c r="O25"/>
      <c r="P25" s="3"/>
      <c r="Q25"/>
      <c r="R25"/>
      <c r="S25"/>
      <c r="T25"/>
      <c r="U25"/>
      <c r="V25"/>
      <c r="W25"/>
      <c r="X25"/>
      <c r="Y25"/>
      <c r="Z25" s="6"/>
    </row>
    <row r="26" spans="1:26" x14ac:dyDescent="0.25">
      <c r="A26" t="s">
        <v>99</v>
      </c>
      <c r="B26" s="2">
        <v>45762.375</v>
      </c>
      <c r="C26" s="1">
        <f t="shared" si="0"/>
        <v>144</v>
      </c>
      <c r="D26" s="1">
        <v>22</v>
      </c>
      <c r="E26" s="1">
        <v>998</v>
      </c>
      <c r="F26">
        <v>42.09</v>
      </c>
      <c r="G26">
        <v>0.2198</v>
      </c>
      <c r="H26">
        <v>0.16</v>
      </c>
      <c r="I26">
        <v>6.13</v>
      </c>
      <c r="J26">
        <v>11</v>
      </c>
      <c r="K26">
        <v>0</v>
      </c>
      <c r="L26">
        <v>11</v>
      </c>
      <c r="M26">
        <v>7</v>
      </c>
      <c r="N26">
        <v>62</v>
      </c>
      <c r="O26">
        <v>180</v>
      </c>
      <c r="P26" s="3">
        <v>88.904264515871432</v>
      </c>
      <c r="Q26"/>
      <c r="R26"/>
      <c r="S26"/>
      <c r="T26"/>
      <c r="U26"/>
      <c r="V26"/>
      <c r="W26"/>
      <c r="X26"/>
      <c r="Y26"/>
      <c r="Z26" s="6"/>
    </row>
    <row r="27" spans="1:26" x14ac:dyDescent="0.25">
      <c r="A27" t="s">
        <v>100</v>
      </c>
      <c r="B27" s="2">
        <v>45762.625</v>
      </c>
      <c r="C27" s="1">
        <f t="shared" si="0"/>
        <v>150</v>
      </c>
      <c r="D27" s="1">
        <v>20.8</v>
      </c>
      <c r="E27" s="1">
        <v>997</v>
      </c>
      <c r="F27">
        <v>54.92</v>
      </c>
      <c r="G27">
        <v>0.26340000000000002</v>
      </c>
      <c r="H27">
        <v>0.11</v>
      </c>
      <c r="I27">
        <v>4.72</v>
      </c>
      <c r="J27">
        <v>11</v>
      </c>
      <c r="K27">
        <v>0</v>
      </c>
      <c r="L27">
        <v>11</v>
      </c>
      <c r="M27">
        <v>6.62</v>
      </c>
      <c r="N27">
        <v>56</v>
      </c>
      <c r="O27">
        <v>177</v>
      </c>
      <c r="P27" s="3">
        <v>92.595072638965476</v>
      </c>
      <c r="Q27"/>
      <c r="R27"/>
      <c r="S27"/>
      <c r="T27"/>
      <c r="U27"/>
      <c r="V27"/>
      <c r="W27"/>
      <c r="X27"/>
      <c r="Y27"/>
      <c r="Z27" s="6"/>
    </row>
    <row r="28" spans="1:26" x14ac:dyDescent="0.25">
      <c r="A28"/>
      <c r="B28" s="2">
        <v>45762.875</v>
      </c>
      <c r="C28" s="1">
        <f t="shared" si="0"/>
        <v>156</v>
      </c>
      <c r="D28" s="1">
        <v>20</v>
      </c>
      <c r="E28" s="1">
        <v>996</v>
      </c>
      <c r="F28"/>
      <c r="G28"/>
      <c r="H28"/>
      <c r="I28"/>
      <c r="J28"/>
      <c r="K28"/>
      <c r="L28"/>
      <c r="M28"/>
      <c r="N28"/>
      <c r="O28"/>
      <c r="P28" s="3"/>
      <c r="Q28"/>
      <c r="R28"/>
      <c r="S28"/>
      <c r="T28"/>
      <c r="U28"/>
      <c r="V28"/>
      <c r="W28"/>
      <c r="X28"/>
      <c r="Y28"/>
      <c r="Z28" s="6"/>
    </row>
    <row r="29" spans="1:26" x14ac:dyDescent="0.25">
      <c r="A29"/>
      <c r="B29" s="2">
        <v>45763.125</v>
      </c>
      <c r="C29" s="1">
        <f t="shared" si="0"/>
        <v>162</v>
      </c>
      <c r="D29" s="1">
        <v>20.3</v>
      </c>
      <c r="E29" s="1">
        <v>994</v>
      </c>
      <c r="F29"/>
      <c r="G29"/>
      <c r="H29"/>
      <c r="I29"/>
      <c r="J29"/>
      <c r="K29"/>
      <c r="L29"/>
      <c r="M29"/>
      <c r="N29"/>
      <c r="O29"/>
      <c r="P29" s="3"/>
      <c r="Q29"/>
      <c r="R29"/>
      <c r="S29"/>
      <c r="T29"/>
      <c r="U29"/>
      <c r="V29"/>
      <c r="W29"/>
      <c r="X29"/>
      <c r="Y29"/>
      <c r="Z29" s="6"/>
    </row>
    <row r="30" spans="1:26" x14ac:dyDescent="0.25">
      <c r="A30" t="s">
        <v>101</v>
      </c>
      <c r="B30" s="2">
        <v>45763.375</v>
      </c>
      <c r="C30" s="1">
        <f t="shared" si="0"/>
        <v>168</v>
      </c>
      <c r="D30" s="1">
        <v>21.1</v>
      </c>
      <c r="E30" s="1">
        <v>994</v>
      </c>
      <c r="F30">
        <v>37.25</v>
      </c>
      <c r="G30">
        <v>0.2122</v>
      </c>
      <c r="H30">
        <v>0.08</v>
      </c>
      <c r="I30">
        <v>1.62</v>
      </c>
      <c r="J30">
        <v>11</v>
      </c>
      <c r="K30">
        <v>0</v>
      </c>
      <c r="L30">
        <v>11</v>
      </c>
      <c r="M30">
        <v>7.3</v>
      </c>
      <c r="N30">
        <v>56</v>
      </c>
      <c r="O30">
        <v>178</v>
      </c>
      <c r="P30" s="3">
        <v>92.595072638965476</v>
      </c>
      <c r="Q30"/>
      <c r="R30"/>
      <c r="S30"/>
      <c r="T30"/>
      <c r="U30"/>
      <c r="V30"/>
      <c r="W30"/>
      <c r="X30"/>
      <c r="Y30"/>
      <c r="Z30" s="6"/>
    </row>
    <row r="31" spans="1:26" x14ac:dyDescent="0.25">
      <c r="A31" t="s">
        <v>102</v>
      </c>
      <c r="B31" s="2">
        <v>45763.625</v>
      </c>
      <c r="C31" s="1">
        <f t="shared" si="0"/>
        <v>174</v>
      </c>
      <c r="D31" s="1">
        <v>21.4</v>
      </c>
      <c r="E31" s="1">
        <v>994</v>
      </c>
      <c r="F31">
        <v>36.71</v>
      </c>
      <c r="G31">
        <v>0.22539999999999999</v>
      </c>
      <c r="H31">
        <v>7.0000000000000007E-2</v>
      </c>
      <c r="I31">
        <v>1</v>
      </c>
      <c r="J31">
        <v>11</v>
      </c>
      <c r="K31">
        <v>0</v>
      </c>
      <c r="L31">
        <v>11</v>
      </c>
      <c r="M31">
        <v>7.98</v>
      </c>
      <c r="N31">
        <v>69</v>
      </c>
      <c r="O31">
        <v>188</v>
      </c>
      <c r="P31" s="3">
        <v>94.12769999999999</v>
      </c>
      <c r="Q31"/>
      <c r="R31">
        <v>3.4263393562499994E-2</v>
      </c>
      <c r="S31">
        <v>4.2851473333333336E-3</v>
      </c>
      <c r="T31">
        <v>4.5185287875000001E-3</v>
      </c>
      <c r="U31">
        <v>0.15171351083333331</v>
      </c>
      <c r="V31">
        <v>6.7858909029301113</v>
      </c>
      <c r="W31">
        <v>4.5336386375000003E-2</v>
      </c>
      <c r="X31">
        <v>8.7292797791666668E-2</v>
      </c>
      <c r="Y31">
        <v>6.9946124667334972</v>
      </c>
    </row>
    <row r="32" spans="1:26" x14ac:dyDescent="0.25">
      <c r="R32"/>
      <c r="S32"/>
      <c r="T32"/>
      <c r="U32"/>
      <c r="V32"/>
      <c r="W32"/>
      <c r="X32"/>
      <c r="Y32"/>
      <c r="Z32" s="6"/>
    </row>
    <row r="33" spans="18:26" x14ac:dyDescent="0.25">
      <c r="R33"/>
      <c r="S33"/>
      <c r="T33"/>
      <c r="U33"/>
      <c r="V33"/>
      <c r="W33"/>
      <c r="X33"/>
      <c r="Y33"/>
      <c r="Z33" s="6"/>
    </row>
    <row r="34" spans="18:26" x14ac:dyDescent="0.25">
      <c r="R34"/>
      <c r="S34"/>
      <c r="T34"/>
      <c r="U34"/>
      <c r="V34"/>
      <c r="W34"/>
      <c r="X34"/>
      <c r="Y34"/>
      <c r="Z34" s="6"/>
    </row>
    <row r="35" spans="18:26" x14ac:dyDescent="0.25">
      <c r="R35"/>
      <c r="S35"/>
      <c r="T35"/>
      <c r="U35"/>
      <c r="V35"/>
      <c r="W35"/>
      <c r="X35"/>
      <c r="Y35"/>
      <c r="Z35" s="6"/>
    </row>
    <row r="36" spans="18:26" x14ac:dyDescent="0.25">
      <c r="R36"/>
      <c r="S36"/>
      <c r="T36"/>
      <c r="U36"/>
      <c r="V36"/>
      <c r="W36"/>
      <c r="X36"/>
      <c r="Y36"/>
      <c r="Z36" s="6"/>
    </row>
    <row r="37" spans="18:26" x14ac:dyDescent="0.25">
      <c r="R37"/>
      <c r="S37"/>
      <c r="T37"/>
      <c r="U37"/>
      <c r="V37"/>
      <c r="W37"/>
      <c r="X37"/>
      <c r="Y37"/>
      <c r="Z37" s="6"/>
    </row>
    <row r="38" spans="18:26" x14ac:dyDescent="0.25">
      <c r="R38"/>
      <c r="S38"/>
      <c r="T38"/>
      <c r="U38"/>
      <c r="V38"/>
      <c r="W38"/>
      <c r="X38"/>
      <c r="Y38"/>
      <c r="Z38" s="6"/>
    </row>
    <row r="39" spans="18:26" x14ac:dyDescent="0.25">
      <c r="R39"/>
      <c r="S39"/>
      <c r="T39"/>
      <c r="U39"/>
      <c r="V39"/>
      <c r="W39"/>
      <c r="X39"/>
      <c r="Y39"/>
      <c r="Z39" s="6"/>
    </row>
    <row r="40" spans="18:26" x14ac:dyDescent="0.25">
      <c r="R40"/>
      <c r="S40"/>
      <c r="T40"/>
      <c r="U40"/>
      <c r="V40"/>
      <c r="W40"/>
      <c r="X40"/>
      <c r="Y40"/>
    </row>
    <row r="41" spans="18:26" x14ac:dyDescent="0.25">
      <c r="R41"/>
      <c r="S41"/>
      <c r="T41"/>
      <c r="U41"/>
      <c r="V41"/>
      <c r="W41"/>
      <c r="X41"/>
      <c r="Y41"/>
    </row>
    <row r="42" spans="18:26" x14ac:dyDescent="0.25">
      <c r="R42"/>
      <c r="S42"/>
      <c r="T42"/>
      <c r="U42"/>
      <c r="V42"/>
      <c r="W42"/>
      <c r="X42"/>
      <c r="Y42"/>
    </row>
    <row r="43" spans="18:26" x14ac:dyDescent="0.25">
      <c r="R43"/>
      <c r="S43"/>
      <c r="T43"/>
      <c r="U43"/>
      <c r="V43"/>
      <c r="W43"/>
      <c r="X43"/>
      <c r="Y43"/>
    </row>
    <row r="44" spans="18:26" x14ac:dyDescent="0.25">
      <c r="R44"/>
      <c r="S44"/>
      <c r="T44"/>
      <c r="U44"/>
      <c r="V44"/>
      <c r="W44"/>
      <c r="X44"/>
      <c r="Y44"/>
    </row>
    <row r="45" spans="18:26" x14ac:dyDescent="0.25">
      <c r="R45"/>
      <c r="S45"/>
      <c r="T45"/>
      <c r="U45"/>
      <c r="V45"/>
      <c r="W45"/>
      <c r="X45"/>
      <c r="Y45"/>
    </row>
    <row r="46" spans="18:26" x14ac:dyDescent="0.25">
      <c r="R46"/>
      <c r="S46"/>
      <c r="T46"/>
      <c r="U46"/>
      <c r="V46"/>
      <c r="W46"/>
      <c r="X46"/>
      <c r="Y46"/>
    </row>
    <row r="47" spans="18:26" x14ac:dyDescent="0.25">
      <c r="R47"/>
      <c r="S47"/>
      <c r="T47"/>
      <c r="U47"/>
      <c r="V47"/>
      <c r="W47"/>
      <c r="X47"/>
      <c r="Y47"/>
    </row>
    <row r="48" spans="18:26" x14ac:dyDescent="0.25">
      <c r="R48"/>
      <c r="S48"/>
      <c r="T48"/>
      <c r="U48"/>
      <c r="V48"/>
      <c r="W48"/>
      <c r="X48"/>
      <c r="Y48"/>
    </row>
    <row r="49" spans="18:25" x14ac:dyDescent="0.25">
      <c r="R49"/>
      <c r="S49"/>
      <c r="T49"/>
      <c r="U49"/>
      <c r="V49"/>
      <c r="W49"/>
      <c r="X49"/>
      <c r="Y49"/>
    </row>
    <row r="50" spans="18:25" x14ac:dyDescent="0.25">
      <c r="R50"/>
      <c r="S50"/>
      <c r="T50"/>
      <c r="U50"/>
      <c r="V50"/>
      <c r="W50"/>
      <c r="X50"/>
      <c r="Y50"/>
    </row>
    <row r="51" spans="18:25" x14ac:dyDescent="0.25">
      <c r="R51"/>
      <c r="S51"/>
      <c r="T51"/>
      <c r="U51"/>
      <c r="V51"/>
      <c r="W51"/>
      <c r="X51"/>
      <c r="Y51"/>
    </row>
    <row r="52" spans="18:25" x14ac:dyDescent="0.25">
      <c r="R52"/>
      <c r="S52"/>
      <c r="T52"/>
      <c r="U52"/>
      <c r="V52"/>
      <c r="W52"/>
      <c r="X52"/>
      <c r="Y52"/>
    </row>
    <row r="53" spans="18:25" x14ac:dyDescent="0.25">
      <c r="R53"/>
      <c r="S53"/>
      <c r="T53"/>
      <c r="U53"/>
      <c r="V53"/>
      <c r="W53"/>
      <c r="X53"/>
      <c r="Y53"/>
    </row>
    <row r="54" spans="18:25" x14ac:dyDescent="0.25">
      <c r="R54"/>
      <c r="S54"/>
      <c r="T54"/>
      <c r="U54"/>
      <c r="V54"/>
      <c r="W54"/>
      <c r="X54"/>
      <c r="Y54"/>
    </row>
    <row r="55" spans="18:25" x14ac:dyDescent="0.25">
      <c r="R55"/>
      <c r="S55"/>
      <c r="T55"/>
      <c r="U55"/>
      <c r="V55"/>
      <c r="W55"/>
      <c r="X55"/>
      <c r="Y55"/>
    </row>
    <row r="56" spans="18:25" x14ac:dyDescent="0.25">
      <c r="R56"/>
      <c r="S56"/>
      <c r="T56"/>
      <c r="U56"/>
      <c r="V56"/>
      <c r="W56"/>
      <c r="X56"/>
      <c r="Y56"/>
    </row>
    <row r="57" spans="18:25" x14ac:dyDescent="0.25">
      <c r="R57"/>
      <c r="S57"/>
      <c r="T57"/>
      <c r="U57"/>
      <c r="V57"/>
      <c r="W57"/>
      <c r="X57"/>
      <c r="Y57"/>
    </row>
    <row r="58" spans="18:25" x14ac:dyDescent="0.25">
      <c r="R58"/>
      <c r="S58"/>
      <c r="T58"/>
      <c r="U58"/>
      <c r="V58"/>
      <c r="W58"/>
      <c r="X58"/>
      <c r="Y58"/>
    </row>
    <row r="59" spans="18:25" x14ac:dyDescent="0.25">
      <c r="R59"/>
      <c r="S59"/>
      <c r="T59"/>
      <c r="U59"/>
      <c r="V59"/>
      <c r="W59"/>
      <c r="X59"/>
      <c r="Y59"/>
    </row>
    <row r="60" spans="18:25" x14ac:dyDescent="0.25">
      <c r="R60"/>
      <c r="S60"/>
      <c r="T60"/>
      <c r="U60"/>
      <c r="V60"/>
      <c r="W60"/>
      <c r="X60"/>
      <c r="Y60"/>
    </row>
    <row r="61" spans="18:25" x14ac:dyDescent="0.25">
      <c r="R61"/>
      <c r="S61"/>
      <c r="T61"/>
      <c r="U61"/>
      <c r="V61"/>
      <c r="W61"/>
      <c r="X61"/>
      <c r="Y61"/>
    </row>
    <row r="62" spans="18:25" x14ac:dyDescent="0.25">
      <c r="R62"/>
      <c r="S62"/>
      <c r="T62"/>
      <c r="U62"/>
      <c r="V62"/>
      <c r="W62"/>
      <c r="X62"/>
      <c r="Y62"/>
    </row>
    <row r="63" spans="18:25" x14ac:dyDescent="0.25">
      <c r="R63"/>
      <c r="S63"/>
      <c r="T63"/>
      <c r="U63"/>
      <c r="V63"/>
      <c r="W63"/>
      <c r="X63"/>
      <c r="Y63"/>
    </row>
    <row r="64" spans="18:25" x14ac:dyDescent="0.25">
      <c r="R64"/>
      <c r="S64"/>
      <c r="T64"/>
      <c r="U64"/>
      <c r="V64"/>
      <c r="W64"/>
      <c r="X64"/>
      <c r="Y64"/>
    </row>
    <row r="65" spans="18:25" x14ac:dyDescent="0.25">
      <c r="R65"/>
      <c r="S65"/>
      <c r="T65"/>
      <c r="U65"/>
      <c r="V65"/>
      <c r="W65"/>
      <c r="X65"/>
      <c r="Y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64"/>
  <sheetViews>
    <sheetView topLeftCell="K1" zoomScale="70" zoomScaleNormal="70" workbookViewId="0">
      <selection activeCell="Q3" sqref="Q3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2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</row>
    <row r="2" spans="1:25" x14ac:dyDescent="0.25">
      <c r="A2" t="s">
        <v>103</v>
      </c>
      <c r="B2" s="2">
        <v>45768.875</v>
      </c>
      <c r="C2" s="1">
        <v>0</v>
      </c>
      <c r="D2" s="1">
        <v>20</v>
      </c>
      <c r="E2" s="1">
        <v>1059</v>
      </c>
      <c r="F2">
        <v>13.75</v>
      </c>
      <c r="G2">
        <v>5.74E-2</v>
      </c>
      <c r="H2">
        <v>65.64</v>
      </c>
      <c r="I2">
        <v>74.52</v>
      </c>
      <c r="J2">
        <v>73</v>
      </c>
      <c r="K2">
        <v>31</v>
      </c>
      <c r="L2">
        <v>98.42</v>
      </c>
      <c r="M2">
        <v>2.2999999999999998</v>
      </c>
      <c r="N2">
        <v>25</v>
      </c>
      <c r="O2">
        <v>177</v>
      </c>
      <c r="P2" s="3">
        <v>6.5609225611124424</v>
      </c>
      <c r="Q2">
        <v>41</v>
      </c>
      <c r="R2"/>
      <c r="S2"/>
      <c r="T2"/>
      <c r="U2"/>
      <c r="V2"/>
      <c r="W2"/>
      <c r="X2"/>
      <c r="Y2"/>
    </row>
    <row r="3" spans="1:25" x14ac:dyDescent="0.25">
      <c r="A3"/>
      <c r="B3" s="2">
        <v>45769.125</v>
      </c>
      <c r="C3" s="1">
        <f t="shared" ref="C3:C64" si="0">(B3-B2)*24+C2</f>
        <v>6</v>
      </c>
      <c r="D3" s="1">
        <v>15.3</v>
      </c>
      <c r="E3" s="1">
        <v>1061</v>
      </c>
      <c r="F3"/>
      <c r="G3"/>
      <c r="H3"/>
      <c r="I3"/>
      <c r="J3"/>
      <c r="K3"/>
      <c r="L3"/>
      <c r="M3"/>
      <c r="N3"/>
      <c r="O3"/>
      <c r="P3" s="3"/>
      <c r="Q3"/>
      <c r="R3"/>
      <c r="S3"/>
      <c r="T3"/>
      <c r="U3"/>
      <c r="V3"/>
      <c r="W3"/>
      <c r="X3"/>
      <c r="Y3"/>
    </row>
    <row r="4" spans="1:25" x14ac:dyDescent="0.25">
      <c r="A4" t="s">
        <v>104</v>
      </c>
      <c r="B4" s="2">
        <v>45769.375</v>
      </c>
      <c r="C4" s="1">
        <f t="shared" si="0"/>
        <v>12</v>
      </c>
      <c r="D4" s="1">
        <v>14.8</v>
      </c>
      <c r="E4" s="1">
        <v>1061</v>
      </c>
      <c r="F4">
        <v>10.29</v>
      </c>
      <c r="G4">
        <v>2.5899999999999999E-2</v>
      </c>
      <c r="H4">
        <v>65.88</v>
      </c>
      <c r="I4">
        <v>71.86</v>
      </c>
      <c r="J4">
        <v>74</v>
      </c>
      <c r="K4">
        <v>35</v>
      </c>
      <c r="L4">
        <v>102.7</v>
      </c>
      <c r="M4">
        <v>2.31</v>
      </c>
      <c r="N4">
        <v>38</v>
      </c>
      <c r="O4">
        <v>176</v>
      </c>
      <c r="P4" s="3">
        <v>7.0497581440460975</v>
      </c>
      <c r="Q4"/>
      <c r="R4"/>
      <c r="S4"/>
      <c r="T4"/>
      <c r="U4"/>
      <c r="V4"/>
      <c r="W4"/>
      <c r="X4"/>
      <c r="Y4"/>
    </row>
    <row r="5" spans="1:25" x14ac:dyDescent="0.25">
      <c r="A5" t="s">
        <v>105</v>
      </c>
      <c r="B5" s="2">
        <v>45769.625</v>
      </c>
      <c r="C5" s="1">
        <f t="shared" si="0"/>
        <v>18</v>
      </c>
      <c r="D5" s="1">
        <v>16.5</v>
      </c>
      <c r="E5" s="1">
        <v>1060</v>
      </c>
      <c r="F5">
        <v>13.06</v>
      </c>
      <c r="G5">
        <v>5.7200000000000001E-2</v>
      </c>
      <c r="H5">
        <v>66.53</v>
      </c>
      <c r="I5">
        <v>70.17</v>
      </c>
      <c r="J5">
        <v>74</v>
      </c>
      <c r="K5">
        <v>33</v>
      </c>
      <c r="L5">
        <v>101.06</v>
      </c>
      <c r="M5">
        <v>2.4</v>
      </c>
      <c r="N5">
        <v>31</v>
      </c>
      <c r="O5">
        <v>198</v>
      </c>
      <c r="P5" s="3">
        <v>8.7632673557529888</v>
      </c>
      <c r="Q5"/>
      <c r="R5"/>
      <c r="S5"/>
      <c r="T5"/>
      <c r="U5"/>
      <c r="V5"/>
      <c r="W5"/>
      <c r="X5"/>
      <c r="Y5"/>
    </row>
    <row r="6" spans="1:25" x14ac:dyDescent="0.25">
      <c r="A6"/>
      <c r="B6" s="2">
        <v>45769.875</v>
      </c>
      <c r="C6" s="1">
        <f t="shared" si="0"/>
        <v>24</v>
      </c>
      <c r="D6" s="1">
        <v>16</v>
      </c>
      <c r="E6" s="1">
        <v>1060</v>
      </c>
      <c r="F6"/>
      <c r="G6"/>
      <c r="H6"/>
      <c r="I6"/>
      <c r="J6"/>
      <c r="K6"/>
      <c r="L6"/>
      <c r="M6"/>
      <c r="N6"/>
      <c r="O6"/>
      <c r="P6" s="3"/>
      <c r="Q6"/>
      <c r="R6"/>
      <c r="S6"/>
      <c r="T6"/>
      <c r="U6"/>
      <c r="V6"/>
      <c r="W6"/>
      <c r="X6"/>
      <c r="Y6"/>
    </row>
    <row r="7" spans="1:25" x14ac:dyDescent="0.25">
      <c r="A7"/>
      <c r="B7" s="2">
        <v>45770.125</v>
      </c>
      <c r="C7" s="1">
        <f t="shared" si="0"/>
        <v>30</v>
      </c>
      <c r="D7" s="1">
        <v>16.5</v>
      </c>
      <c r="E7" s="1">
        <v>1059</v>
      </c>
      <c r="F7"/>
      <c r="G7"/>
      <c r="H7"/>
      <c r="I7"/>
      <c r="J7"/>
      <c r="K7"/>
      <c r="L7"/>
      <c r="M7"/>
      <c r="N7"/>
      <c r="O7"/>
      <c r="P7" s="3"/>
      <c r="Q7"/>
      <c r="R7"/>
      <c r="S7"/>
      <c r="T7"/>
      <c r="U7"/>
      <c r="V7"/>
      <c r="W7"/>
      <c r="X7"/>
      <c r="Y7"/>
    </row>
    <row r="8" spans="1:25" x14ac:dyDescent="0.25">
      <c r="A8" t="s">
        <v>106</v>
      </c>
      <c r="B8" s="2">
        <v>45770.375</v>
      </c>
      <c r="C8" s="1">
        <f t="shared" si="0"/>
        <v>36</v>
      </c>
      <c r="D8" s="1">
        <v>16</v>
      </c>
      <c r="E8" s="1">
        <v>1059</v>
      </c>
      <c r="F8">
        <v>17.97</v>
      </c>
      <c r="G8">
        <v>4.3099999999999999E-2</v>
      </c>
      <c r="H8">
        <v>64.52</v>
      </c>
      <c r="I8">
        <v>67.599999999999994</v>
      </c>
      <c r="J8">
        <v>70</v>
      </c>
      <c r="K8">
        <v>31</v>
      </c>
      <c r="L8">
        <v>95.42</v>
      </c>
      <c r="M8">
        <v>2.56</v>
      </c>
      <c r="N8">
        <v>26</v>
      </c>
      <c r="O8">
        <v>224</v>
      </c>
      <c r="P8" s="3">
        <v>8.6407402934200572</v>
      </c>
      <c r="Q8" s="1">
        <v>100</v>
      </c>
      <c r="R8"/>
      <c r="S8"/>
      <c r="T8"/>
      <c r="U8"/>
      <c r="V8"/>
      <c r="W8"/>
      <c r="X8"/>
      <c r="Y8"/>
    </row>
    <row r="9" spans="1:25" x14ac:dyDescent="0.25">
      <c r="A9" t="s">
        <v>107</v>
      </c>
      <c r="B9" s="2">
        <v>45770.625</v>
      </c>
      <c r="C9" s="1">
        <f t="shared" si="0"/>
        <v>42</v>
      </c>
      <c r="D9" s="1">
        <v>16.600000000000001</v>
      </c>
      <c r="E9" s="1">
        <v>1058</v>
      </c>
      <c r="F9">
        <v>17.739999999999998</v>
      </c>
      <c r="G9">
        <v>3.5299999999999998E-2</v>
      </c>
      <c r="H9">
        <v>63.04</v>
      </c>
      <c r="I9">
        <v>68.25</v>
      </c>
      <c r="J9">
        <v>86</v>
      </c>
      <c r="K9">
        <v>74</v>
      </c>
      <c r="L9">
        <v>146.68</v>
      </c>
      <c r="M9">
        <v>2.77</v>
      </c>
      <c r="N9">
        <v>44</v>
      </c>
      <c r="O9">
        <v>259</v>
      </c>
      <c r="P9" s="3">
        <v>10.603645422364107</v>
      </c>
      <c r="Q9"/>
      <c r="R9"/>
      <c r="S9"/>
      <c r="T9"/>
      <c r="U9"/>
      <c r="V9"/>
      <c r="W9"/>
      <c r="X9"/>
      <c r="Y9"/>
    </row>
    <row r="10" spans="1:25" x14ac:dyDescent="0.25">
      <c r="A10"/>
      <c r="B10" s="2">
        <v>45770.875</v>
      </c>
      <c r="C10" s="1">
        <f t="shared" si="0"/>
        <v>48</v>
      </c>
      <c r="D10" s="1">
        <v>16.5</v>
      </c>
      <c r="E10" s="1">
        <v>1058</v>
      </c>
      <c r="F10"/>
      <c r="G10"/>
      <c r="H10"/>
      <c r="I10"/>
      <c r="J10"/>
      <c r="K10"/>
      <c r="L10"/>
      <c r="M10"/>
      <c r="N10"/>
      <c r="O10"/>
      <c r="P10" s="3"/>
      <c r="Q10"/>
      <c r="R10"/>
      <c r="S10"/>
      <c r="T10"/>
      <c r="U10"/>
      <c r="V10"/>
      <c r="W10"/>
      <c r="X10"/>
      <c r="Y10"/>
    </row>
    <row r="11" spans="1:25" x14ac:dyDescent="0.25">
      <c r="A11"/>
      <c r="B11" s="2">
        <v>45771.125</v>
      </c>
      <c r="C11" s="1">
        <f t="shared" si="0"/>
        <v>54</v>
      </c>
      <c r="D11" s="1">
        <v>16</v>
      </c>
      <c r="E11" s="1">
        <v>1058</v>
      </c>
      <c r="F11"/>
      <c r="G11"/>
      <c r="H11"/>
      <c r="I11"/>
      <c r="J11"/>
      <c r="K11"/>
      <c r="L11"/>
      <c r="M11"/>
      <c r="N11"/>
      <c r="O11"/>
      <c r="P11" s="3"/>
      <c r="Q11"/>
      <c r="R11"/>
      <c r="S11"/>
      <c r="T11"/>
      <c r="U11"/>
      <c r="V11"/>
      <c r="W11"/>
      <c r="X11"/>
      <c r="Y11"/>
    </row>
    <row r="12" spans="1:25" x14ac:dyDescent="0.25">
      <c r="A12" t="s">
        <v>108</v>
      </c>
      <c r="B12" s="2">
        <v>45771.375</v>
      </c>
      <c r="C12" s="1">
        <f t="shared" si="0"/>
        <v>60</v>
      </c>
      <c r="D12" s="1">
        <v>15.3</v>
      </c>
      <c r="E12" s="1">
        <v>1055</v>
      </c>
      <c r="F12">
        <v>21.51</v>
      </c>
      <c r="G12">
        <v>8.1699999999999995E-2</v>
      </c>
      <c r="H12">
        <v>65.52</v>
      </c>
      <c r="I12">
        <v>69.61</v>
      </c>
      <c r="J12">
        <v>88</v>
      </c>
      <c r="K12">
        <v>79</v>
      </c>
      <c r="L12">
        <v>152.78</v>
      </c>
      <c r="M12">
        <v>2.67</v>
      </c>
      <c r="N12">
        <v>38</v>
      </c>
      <c r="O12">
        <v>264</v>
      </c>
      <c r="P12" s="3">
        <v>14.174908002503933</v>
      </c>
      <c r="Q12"/>
      <c r="R12"/>
      <c r="S12"/>
      <c r="T12"/>
      <c r="U12"/>
      <c r="V12"/>
      <c r="W12"/>
      <c r="X12"/>
      <c r="Y12"/>
    </row>
    <row r="13" spans="1:25" x14ac:dyDescent="0.25">
      <c r="A13" t="s">
        <v>109</v>
      </c>
      <c r="B13" s="2">
        <v>45771.625</v>
      </c>
      <c r="C13" s="1">
        <f t="shared" si="0"/>
        <v>66</v>
      </c>
      <c r="D13" s="1">
        <v>16.600000000000001</v>
      </c>
      <c r="E13" s="1">
        <v>1054</v>
      </c>
      <c r="F13">
        <v>21.51</v>
      </c>
      <c r="G13">
        <v>8.0799999999999997E-2</v>
      </c>
      <c r="H13">
        <v>59.39</v>
      </c>
      <c r="I13">
        <v>69.010000000000005</v>
      </c>
      <c r="J13">
        <v>72</v>
      </c>
      <c r="K13">
        <v>57</v>
      </c>
      <c r="L13">
        <v>118.74</v>
      </c>
      <c r="M13">
        <v>3.11</v>
      </c>
      <c r="N13">
        <v>52</v>
      </c>
      <c r="O13">
        <v>268</v>
      </c>
      <c r="P13" s="3">
        <v>16.152748340224306</v>
      </c>
      <c r="Q13"/>
      <c r="R13"/>
      <c r="S13"/>
      <c r="T13"/>
      <c r="U13"/>
      <c r="V13"/>
      <c r="W13"/>
      <c r="X13"/>
      <c r="Y13"/>
    </row>
    <row r="14" spans="1:25" x14ac:dyDescent="0.25">
      <c r="A14"/>
      <c r="B14" s="2">
        <v>45771.875</v>
      </c>
      <c r="C14" s="1">
        <f t="shared" si="0"/>
        <v>72</v>
      </c>
      <c r="D14" s="1">
        <v>16.3</v>
      </c>
      <c r="E14" s="1">
        <v>1054</v>
      </c>
      <c r="F14"/>
      <c r="G14"/>
      <c r="H14"/>
      <c r="I14"/>
      <c r="J14"/>
      <c r="K14"/>
      <c r="L14"/>
      <c r="M14"/>
      <c r="N14"/>
      <c r="O14"/>
      <c r="P14" s="3"/>
      <c r="Q14"/>
      <c r="R14"/>
      <c r="S14"/>
      <c r="T14"/>
      <c r="U14"/>
      <c r="V14"/>
      <c r="W14"/>
      <c r="X14"/>
      <c r="Y14"/>
    </row>
    <row r="15" spans="1:25" x14ac:dyDescent="0.25">
      <c r="A15"/>
      <c r="B15" s="2">
        <v>45772.125</v>
      </c>
      <c r="C15" s="1">
        <f t="shared" si="0"/>
        <v>78</v>
      </c>
      <c r="D15" s="1">
        <v>16</v>
      </c>
      <c r="E15" s="1">
        <v>1059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25" x14ac:dyDescent="0.25">
      <c r="A16" t="s">
        <v>110</v>
      </c>
      <c r="B16" s="2">
        <v>45772.375</v>
      </c>
      <c r="C16" s="1">
        <f t="shared" si="0"/>
        <v>84</v>
      </c>
      <c r="D16" s="1">
        <v>15</v>
      </c>
      <c r="E16" s="1">
        <v>1048</v>
      </c>
      <c r="F16">
        <v>21.74</v>
      </c>
      <c r="G16">
        <v>0.1167</v>
      </c>
      <c r="H16">
        <v>48.75</v>
      </c>
      <c r="I16">
        <v>62.04</v>
      </c>
      <c r="J16">
        <v>50</v>
      </c>
      <c r="K16">
        <v>23</v>
      </c>
      <c r="L16">
        <v>68.86</v>
      </c>
      <c r="M16">
        <v>3.49</v>
      </c>
      <c r="N16">
        <v>61</v>
      </c>
      <c r="O16">
        <v>266</v>
      </c>
      <c r="P16" s="3">
        <v>21.993711142658459</v>
      </c>
      <c r="Q16"/>
      <c r="R16">
        <v>3.1701973429166669E-2</v>
      </c>
      <c r="S16">
        <v>1.63655645625E-3</v>
      </c>
      <c r="T16">
        <v>1.1478207741666667E-3</v>
      </c>
      <c r="U16">
        <v>0.11990553520833334</v>
      </c>
      <c r="V16">
        <v>1.6402219250568786</v>
      </c>
      <c r="W16">
        <v>2.9415980641666666E-2</v>
      </c>
      <c r="X16">
        <v>1.7027409895833335E-2</v>
      </c>
      <c r="Y16">
        <v>4.5963418909964195</v>
      </c>
    </row>
    <row r="17" spans="1:25" x14ac:dyDescent="0.25">
      <c r="A17"/>
      <c r="B17" s="2">
        <v>45772.625</v>
      </c>
      <c r="C17" s="1">
        <f t="shared" si="0"/>
        <v>90</v>
      </c>
      <c r="D17" s="1">
        <v>16</v>
      </c>
      <c r="E17" s="1">
        <v>1046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</row>
    <row r="18" spans="1:25" x14ac:dyDescent="0.25">
      <c r="A18"/>
      <c r="B18" s="2">
        <v>45772.875</v>
      </c>
      <c r="C18" s="1">
        <f t="shared" si="0"/>
        <v>96</v>
      </c>
      <c r="D18" s="1">
        <v>16</v>
      </c>
      <c r="E18" s="1">
        <v>1044</v>
      </c>
      <c r="F18"/>
      <c r="G18"/>
      <c r="H18"/>
      <c r="I18"/>
      <c r="J18"/>
      <c r="K18"/>
      <c r="L18"/>
      <c r="M18"/>
      <c r="N18"/>
      <c r="O18"/>
      <c r="P18" s="3"/>
      <c r="Q18"/>
      <c r="R18"/>
      <c r="S18"/>
      <c r="T18"/>
      <c r="U18"/>
      <c r="V18"/>
      <c r="W18"/>
      <c r="X18"/>
      <c r="Y18"/>
    </row>
    <row r="19" spans="1:25" x14ac:dyDescent="0.25">
      <c r="A19"/>
      <c r="B19" s="2">
        <v>45773.125</v>
      </c>
      <c r="C19" s="1">
        <f t="shared" si="0"/>
        <v>102</v>
      </c>
      <c r="D19" s="1">
        <v>16</v>
      </c>
      <c r="E19" s="1">
        <v>1041</v>
      </c>
      <c r="F19"/>
      <c r="G19"/>
      <c r="H19"/>
      <c r="I19"/>
      <c r="J19"/>
      <c r="K19"/>
      <c r="L19"/>
      <c r="M19"/>
      <c r="N19"/>
      <c r="O19"/>
      <c r="P19" s="3"/>
      <c r="Q19"/>
      <c r="R19"/>
      <c r="S19"/>
      <c r="T19"/>
      <c r="U19"/>
      <c r="V19"/>
      <c r="W19"/>
      <c r="X19"/>
      <c r="Y19"/>
    </row>
    <row r="20" spans="1:25" x14ac:dyDescent="0.25">
      <c r="A20" t="s">
        <v>111</v>
      </c>
      <c r="B20" s="2">
        <v>45773.375</v>
      </c>
      <c r="C20" s="1">
        <f t="shared" si="0"/>
        <v>108</v>
      </c>
      <c r="D20" s="1">
        <v>15</v>
      </c>
      <c r="E20" s="1">
        <v>1039</v>
      </c>
      <c r="F20">
        <v>50.92</v>
      </c>
      <c r="G20">
        <v>0.13300000000000001</v>
      </c>
      <c r="H20">
        <v>33.130000000000003</v>
      </c>
      <c r="I20">
        <v>58.37</v>
      </c>
      <c r="J20">
        <v>32</v>
      </c>
      <c r="K20">
        <v>0</v>
      </c>
      <c r="L20">
        <v>32</v>
      </c>
      <c r="M20">
        <v>3.05</v>
      </c>
      <c r="N20">
        <v>39</v>
      </c>
      <c r="O20">
        <v>284</v>
      </c>
      <c r="P20" s="3">
        <v>34.831643308478839</v>
      </c>
      <c r="Q20"/>
      <c r="R20">
        <v>3.2354309883333335E-2</v>
      </c>
      <c r="S20">
        <v>1.8185122308333333E-3</v>
      </c>
      <c r="T20">
        <v>2.4659594304166665E-3</v>
      </c>
      <c r="U20">
        <v>0.16867106487499997</v>
      </c>
      <c r="V20">
        <v>3.3761103699149664</v>
      </c>
      <c r="W20">
        <v>3.7442057374999997E-2</v>
      </c>
      <c r="X20">
        <v>5.6277588291666666E-2</v>
      </c>
      <c r="Y20">
        <v>6.4077887354175598</v>
      </c>
    </row>
    <row r="21" spans="1:25" x14ac:dyDescent="0.25">
      <c r="A21" t="s">
        <v>112</v>
      </c>
      <c r="B21" s="2">
        <v>45773.625</v>
      </c>
      <c r="C21" s="1">
        <f t="shared" si="0"/>
        <v>114</v>
      </c>
      <c r="D21" s="1">
        <v>16</v>
      </c>
      <c r="E21" s="1">
        <v>1036</v>
      </c>
      <c r="F21">
        <v>34.1</v>
      </c>
      <c r="G21">
        <v>0.1643</v>
      </c>
      <c r="H21">
        <v>32.340000000000003</v>
      </c>
      <c r="I21">
        <v>51.43</v>
      </c>
      <c r="J21">
        <v>27</v>
      </c>
      <c r="K21">
        <v>0</v>
      </c>
      <c r="L21">
        <v>27</v>
      </c>
      <c r="M21">
        <v>4.9800000000000004</v>
      </c>
      <c r="N21">
        <v>51</v>
      </c>
      <c r="O21">
        <v>261</v>
      </c>
      <c r="P21" s="3">
        <v>39.416445679691357</v>
      </c>
      <c r="Q21"/>
      <c r="R21"/>
      <c r="S21"/>
      <c r="T21"/>
      <c r="U21"/>
      <c r="V21"/>
      <c r="W21"/>
      <c r="X21"/>
      <c r="Y21"/>
    </row>
    <row r="22" spans="1:25" x14ac:dyDescent="0.25">
      <c r="A22"/>
      <c r="B22" s="2">
        <v>45773.875</v>
      </c>
      <c r="C22" s="1">
        <f t="shared" si="0"/>
        <v>120</v>
      </c>
      <c r="D22" s="1">
        <v>15.3</v>
      </c>
      <c r="E22" s="1">
        <v>1035</v>
      </c>
      <c r="F22"/>
      <c r="G22"/>
      <c r="H22"/>
      <c r="I22"/>
      <c r="J22"/>
      <c r="K22"/>
      <c r="L22"/>
      <c r="M22"/>
      <c r="N22"/>
      <c r="O22"/>
      <c r="P22" s="3"/>
      <c r="Q22"/>
      <c r="R22"/>
      <c r="S22"/>
      <c r="T22"/>
      <c r="U22"/>
      <c r="V22"/>
      <c r="W22"/>
      <c r="X22"/>
      <c r="Y22"/>
    </row>
    <row r="23" spans="1:25" x14ac:dyDescent="0.25">
      <c r="A23"/>
      <c r="B23" s="2">
        <v>45774.125</v>
      </c>
      <c r="C23" s="1">
        <f t="shared" si="0"/>
        <v>126</v>
      </c>
      <c r="D23" s="1">
        <v>15.5</v>
      </c>
      <c r="E23" s="1">
        <v>1032</v>
      </c>
      <c r="F23"/>
      <c r="G23"/>
      <c r="H23"/>
      <c r="I23"/>
      <c r="J23"/>
      <c r="K23"/>
      <c r="L23"/>
      <c r="M23"/>
      <c r="N23"/>
      <c r="O23"/>
      <c r="P23" s="3"/>
      <c r="Q23"/>
      <c r="R23"/>
      <c r="S23"/>
      <c r="T23"/>
      <c r="U23"/>
      <c r="V23"/>
      <c r="W23"/>
      <c r="X23"/>
      <c r="Y23"/>
    </row>
    <row r="24" spans="1:25" x14ac:dyDescent="0.25">
      <c r="A24"/>
      <c r="B24" s="2">
        <v>45774.375</v>
      </c>
      <c r="C24" s="1">
        <f t="shared" si="0"/>
        <v>132</v>
      </c>
      <c r="D24" s="1">
        <v>15.3</v>
      </c>
      <c r="E24" s="1">
        <v>1028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</row>
    <row r="25" spans="1:25" x14ac:dyDescent="0.25">
      <c r="A25" t="s">
        <v>113</v>
      </c>
      <c r="B25" s="2">
        <v>45774.625</v>
      </c>
      <c r="C25" s="1">
        <f t="shared" si="0"/>
        <v>138</v>
      </c>
      <c r="D25" s="1">
        <v>15.7</v>
      </c>
      <c r="E25" s="1">
        <v>1025</v>
      </c>
      <c r="F25">
        <v>69.819999999999993</v>
      </c>
      <c r="G25">
        <v>0.20230000000000001</v>
      </c>
      <c r="H25">
        <v>19.54</v>
      </c>
      <c r="I25">
        <v>49.44</v>
      </c>
      <c r="J25">
        <v>26</v>
      </c>
      <c r="K25">
        <v>0</v>
      </c>
      <c r="L25">
        <v>26</v>
      </c>
      <c r="M25">
        <v>5.54</v>
      </c>
      <c r="N25">
        <v>48</v>
      </c>
      <c r="O25">
        <v>245</v>
      </c>
      <c r="P25" s="3">
        <v>49.966359962636716</v>
      </c>
      <c r="Q25"/>
      <c r="R25">
        <v>3.0320439795833331E-2</v>
      </c>
      <c r="S25">
        <v>2.5255829499999998E-3</v>
      </c>
      <c r="T25">
        <v>1.5702154054166666E-3</v>
      </c>
      <c r="U25">
        <v>0.197925848875</v>
      </c>
      <c r="V25">
        <v>4.72125528629594</v>
      </c>
      <c r="W25">
        <v>3.0495110608333334E-2</v>
      </c>
      <c r="X25">
        <v>3.840141740833334E-2</v>
      </c>
      <c r="Y25">
        <v>6.8102799916321004</v>
      </c>
    </row>
    <row r="26" spans="1:25" x14ac:dyDescent="0.25">
      <c r="A26"/>
      <c r="B26" s="2">
        <v>45774.875</v>
      </c>
      <c r="C26" s="1">
        <f t="shared" si="0"/>
        <v>144</v>
      </c>
      <c r="D26" s="1">
        <v>16</v>
      </c>
      <c r="E26" s="1">
        <v>1025</v>
      </c>
      <c r="F26"/>
      <c r="G26"/>
      <c r="H26"/>
      <c r="I26"/>
      <c r="J26"/>
      <c r="K26"/>
      <c r="L26"/>
      <c r="M26"/>
      <c r="N26"/>
      <c r="O26"/>
      <c r="P26" s="3"/>
      <c r="Q26"/>
      <c r="R26"/>
      <c r="S26"/>
      <c r="T26"/>
      <c r="U26"/>
      <c r="V26"/>
      <c r="W26"/>
      <c r="X26"/>
      <c r="Y26"/>
    </row>
    <row r="27" spans="1:25" x14ac:dyDescent="0.25">
      <c r="A27"/>
      <c r="B27" s="2">
        <v>45775.125</v>
      </c>
      <c r="C27" s="1">
        <f t="shared" si="0"/>
        <v>150</v>
      </c>
      <c r="D27" s="1">
        <v>15.9</v>
      </c>
      <c r="E27" s="1">
        <v>1024</v>
      </c>
      <c r="F27"/>
      <c r="G27"/>
      <c r="H27"/>
      <c r="I27"/>
      <c r="J27"/>
      <c r="K27"/>
      <c r="L27"/>
      <c r="M27"/>
      <c r="N27"/>
      <c r="O27"/>
      <c r="P27" s="3"/>
      <c r="Q27"/>
      <c r="R27"/>
      <c r="S27"/>
      <c r="T27"/>
      <c r="U27"/>
      <c r="V27"/>
      <c r="W27"/>
      <c r="X27"/>
      <c r="Y27"/>
    </row>
    <row r="28" spans="1:25" x14ac:dyDescent="0.25">
      <c r="A28" t="s">
        <v>114</v>
      </c>
      <c r="B28" s="2">
        <v>45775.375</v>
      </c>
      <c r="C28" s="1">
        <f t="shared" si="0"/>
        <v>156</v>
      </c>
      <c r="D28" s="1">
        <v>15</v>
      </c>
      <c r="E28" s="1">
        <v>1022</v>
      </c>
      <c r="F28">
        <v>43.09</v>
      </c>
      <c r="G28">
        <v>0.2001</v>
      </c>
      <c r="H28">
        <v>17.88</v>
      </c>
      <c r="I28">
        <v>39.54</v>
      </c>
      <c r="J28">
        <v>29</v>
      </c>
      <c r="K28">
        <v>0</v>
      </c>
      <c r="L28">
        <v>29</v>
      </c>
      <c r="M28">
        <v>5.84</v>
      </c>
      <c r="N28">
        <v>38</v>
      </c>
      <c r="O28">
        <v>229</v>
      </c>
      <c r="P28" s="3">
        <v>57.650339514792513</v>
      </c>
      <c r="Q28"/>
      <c r="R28">
        <v>3.7741071595833328E-2</v>
      </c>
      <c r="S28">
        <v>2.5872296270833331E-3</v>
      </c>
      <c r="T28">
        <v>9.7446289750000008E-3</v>
      </c>
      <c r="U28">
        <v>0.30262669062500003</v>
      </c>
      <c r="V28">
        <v>6.4512724020278416</v>
      </c>
      <c r="W28">
        <v>7.7124013875000008E-2</v>
      </c>
      <c r="X28">
        <v>9.173337275E-2</v>
      </c>
      <c r="Y28">
        <v>10.306090536694661</v>
      </c>
    </row>
    <row r="29" spans="1:25" x14ac:dyDescent="0.25">
      <c r="A29" t="s">
        <v>115</v>
      </c>
      <c r="B29" s="2">
        <v>45775.625</v>
      </c>
      <c r="C29" s="1">
        <f t="shared" si="0"/>
        <v>162</v>
      </c>
      <c r="D29" s="1">
        <v>15.6</v>
      </c>
      <c r="E29" s="1">
        <v>1020</v>
      </c>
      <c r="F29">
        <v>40.020000000000003</v>
      </c>
      <c r="G29">
        <v>0.19370000000000001</v>
      </c>
      <c r="H29">
        <v>15.11</v>
      </c>
      <c r="I29">
        <v>35.83</v>
      </c>
      <c r="J29">
        <v>22</v>
      </c>
      <c r="K29">
        <v>8</v>
      </c>
      <c r="L29">
        <v>28.56</v>
      </c>
      <c r="M29">
        <v>5.73</v>
      </c>
      <c r="N29">
        <v>40</v>
      </c>
      <c r="O29">
        <v>239</v>
      </c>
      <c r="P29" s="3">
        <v>60.273020004784968</v>
      </c>
      <c r="Q29"/>
      <c r="R29"/>
      <c r="S29"/>
      <c r="T29"/>
      <c r="U29"/>
      <c r="V29"/>
      <c r="W29"/>
      <c r="X29"/>
      <c r="Y29"/>
    </row>
    <row r="30" spans="1:25" x14ac:dyDescent="0.25">
      <c r="A30"/>
      <c r="B30" s="2">
        <v>45775.875</v>
      </c>
      <c r="C30" s="1">
        <f t="shared" si="0"/>
        <v>168</v>
      </c>
      <c r="D30" s="1">
        <v>16</v>
      </c>
      <c r="E30" s="1">
        <v>1019</v>
      </c>
      <c r="F30"/>
      <c r="G30"/>
      <c r="H30"/>
      <c r="I30"/>
      <c r="J30"/>
      <c r="K30"/>
      <c r="L30"/>
      <c r="M30"/>
      <c r="N30"/>
      <c r="O30"/>
      <c r="P30" s="3"/>
      <c r="Q30"/>
      <c r="R30"/>
      <c r="S30"/>
      <c r="T30"/>
      <c r="U30"/>
      <c r="V30"/>
      <c r="W30"/>
      <c r="X30"/>
      <c r="Y30"/>
    </row>
    <row r="31" spans="1:25" x14ac:dyDescent="0.25">
      <c r="A31"/>
      <c r="B31" s="2">
        <v>45776.125</v>
      </c>
      <c r="C31" s="1">
        <f t="shared" si="0"/>
        <v>174</v>
      </c>
      <c r="D31" s="1">
        <v>15.5</v>
      </c>
      <c r="E31" s="1">
        <v>1017</v>
      </c>
      <c r="F31"/>
      <c r="G31"/>
      <c r="H31"/>
      <c r="I31"/>
      <c r="J31"/>
      <c r="K31"/>
      <c r="L31"/>
      <c r="M31"/>
      <c r="N31"/>
      <c r="O31"/>
      <c r="P31" s="3"/>
      <c r="Q31"/>
      <c r="R31"/>
      <c r="S31"/>
      <c r="T31"/>
      <c r="U31"/>
      <c r="V31"/>
      <c r="W31"/>
      <c r="X31"/>
      <c r="Y31"/>
    </row>
    <row r="32" spans="1:25" x14ac:dyDescent="0.25">
      <c r="A32" t="s">
        <v>116</v>
      </c>
      <c r="B32" s="2">
        <v>45776.375</v>
      </c>
      <c r="C32" s="1">
        <f t="shared" si="0"/>
        <v>180</v>
      </c>
      <c r="D32" s="1">
        <v>15</v>
      </c>
      <c r="E32" s="1">
        <v>1015</v>
      </c>
      <c r="F32">
        <v>38.479999999999997</v>
      </c>
      <c r="G32">
        <v>0.21940000000000001</v>
      </c>
      <c r="H32">
        <v>11.12</v>
      </c>
      <c r="I32">
        <v>32.04</v>
      </c>
      <c r="J32">
        <v>23</v>
      </c>
      <c r="K32">
        <v>3</v>
      </c>
      <c r="L32">
        <v>25.46</v>
      </c>
      <c r="M32">
        <v>5.79</v>
      </c>
      <c r="N32">
        <v>48</v>
      </c>
      <c r="O32">
        <v>230</v>
      </c>
      <c r="P32" s="3">
        <v>66.075224788944723</v>
      </c>
      <c r="Q32"/>
      <c r="R32">
        <v>3.6663247987500001E-2</v>
      </c>
      <c r="S32">
        <v>2.6269065049999997E-3</v>
      </c>
      <c r="T32">
        <v>8.169748520833334E-3</v>
      </c>
      <c r="U32">
        <v>0.27222239095833334</v>
      </c>
      <c r="V32">
        <v>7.0147408642313751</v>
      </c>
      <c r="W32">
        <v>7.1560647708333328E-2</v>
      </c>
      <c r="X32">
        <v>9.9345714375000005E-2</v>
      </c>
      <c r="Y32">
        <v>9.9342847748937402</v>
      </c>
    </row>
    <row r="33" spans="1:25" x14ac:dyDescent="0.25">
      <c r="A33" t="s">
        <v>117</v>
      </c>
      <c r="B33" s="2">
        <v>45776.625</v>
      </c>
      <c r="C33" s="1">
        <f t="shared" si="0"/>
        <v>186</v>
      </c>
      <c r="D33" s="1">
        <v>15</v>
      </c>
      <c r="E33" s="1">
        <v>1014</v>
      </c>
      <c r="F33">
        <v>32.409999999999997</v>
      </c>
      <c r="G33">
        <v>0.2167</v>
      </c>
      <c r="H33">
        <v>11.07</v>
      </c>
      <c r="I33">
        <v>29.68</v>
      </c>
      <c r="J33">
        <v>23</v>
      </c>
      <c r="K33">
        <v>2</v>
      </c>
      <c r="L33">
        <v>24.64</v>
      </c>
      <c r="M33">
        <v>6.34</v>
      </c>
      <c r="N33">
        <v>21</v>
      </c>
      <c r="O33">
        <v>241</v>
      </c>
      <c r="P33" s="3">
        <v>68.993105055999564</v>
      </c>
      <c r="Q33"/>
      <c r="R33"/>
      <c r="S33"/>
      <c r="T33"/>
      <c r="U33"/>
      <c r="V33"/>
      <c r="W33"/>
      <c r="X33"/>
      <c r="Y33"/>
    </row>
    <row r="34" spans="1:25" x14ac:dyDescent="0.25">
      <c r="A34"/>
      <c r="B34" s="2">
        <v>45776.875</v>
      </c>
      <c r="C34" s="1">
        <f t="shared" si="0"/>
        <v>192</v>
      </c>
      <c r="D34" s="1">
        <v>15.5</v>
      </c>
      <c r="E34" s="1">
        <v>1014</v>
      </c>
      <c r="F34"/>
      <c r="G34"/>
      <c r="H34"/>
      <c r="I34"/>
      <c r="J34"/>
      <c r="K34"/>
      <c r="L34"/>
      <c r="M34"/>
      <c r="N34"/>
      <c r="O34"/>
      <c r="P34" s="3"/>
      <c r="Q34"/>
      <c r="R34"/>
      <c r="S34"/>
      <c r="T34"/>
      <c r="U34"/>
      <c r="V34"/>
      <c r="W34"/>
      <c r="X34"/>
      <c r="Y34"/>
    </row>
    <row r="35" spans="1:25" x14ac:dyDescent="0.25">
      <c r="A35"/>
      <c r="B35" s="2">
        <v>45777.125</v>
      </c>
      <c r="C35" s="1">
        <f t="shared" si="0"/>
        <v>198</v>
      </c>
      <c r="D35" s="1">
        <v>16</v>
      </c>
      <c r="E35" s="1">
        <v>1012</v>
      </c>
      <c r="F35"/>
      <c r="G35"/>
      <c r="H35"/>
      <c r="I35"/>
      <c r="J35"/>
      <c r="K35"/>
      <c r="L35"/>
      <c r="M35"/>
      <c r="N35"/>
      <c r="O35"/>
      <c r="P35" s="3"/>
      <c r="Q35"/>
      <c r="R35"/>
      <c r="S35"/>
      <c r="T35"/>
      <c r="U35"/>
      <c r="V35"/>
      <c r="W35"/>
      <c r="X35"/>
      <c r="Y35"/>
    </row>
    <row r="36" spans="1:25" x14ac:dyDescent="0.25">
      <c r="A36" t="s">
        <v>118</v>
      </c>
      <c r="B36" s="2">
        <v>45777.375</v>
      </c>
      <c r="C36" s="1">
        <f t="shared" si="0"/>
        <v>204</v>
      </c>
      <c r="D36" s="1">
        <v>15.2</v>
      </c>
      <c r="E36" s="1">
        <v>1011</v>
      </c>
      <c r="F36">
        <v>34.1</v>
      </c>
      <c r="G36">
        <v>0.2271</v>
      </c>
      <c r="H36">
        <v>7.79</v>
      </c>
      <c r="I36">
        <v>26.92</v>
      </c>
      <c r="J36">
        <v>23</v>
      </c>
      <c r="K36">
        <v>1</v>
      </c>
      <c r="L36">
        <v>23.82</v>
      </c>
      <c r="M36">
        <v>6.36</v>
      </c>
      <c r="N36">
        <v>27</v>
      </c>
      <c r="O36">
        <v>245</v>
      </c>
      <c r="P36" s="3">
        <v>71.788863577497281</v>
      </c>
      <c r="Q36"/>
      <c r="R36">
        <v>3.9515348083333332E-2</v>
      </c>
      <c r="S36">
        <v>2.8101526400000003E-3</v>
      </c>
      <c r="T36">
        <v>1.0967358995833334E-2</v>
      </c>
      <c r="U36">
        <v>0.29658153104166668</v>
      </c>
      <c r="V36">
        <v>7.2082743097780417</v>
      </c>
      <c r="W36">
        <v>7.7869099166666664E-2</v>
      </c>
      <c r="X36">
        <v>0.10487997045833335</v>
      </c>
      <c r="Y36">
        <v>11.156862328408019</v>
      </c>
    </row>
    <row r="37" spans="1:25" x14ac:dyDescent="0.25">
      <c r="A37" t="s">
        <v>119</v>
      </c>
      <c r="B37" s="2">
        <v>45777.625</v>
      </c>
      <c r="C37" s="1">
        <f t="shared" si="0"/>
        <v>210</v>
      </c>
      <c r="D37" s="1">
        <v>15.5</v>
      </c>
      <c r="E37" s="1">
        <v>1010</v>
      </c>
      <c r="F37">
        <v>39.479999999999997</v>
      </c>
      <c r="G37">
        <v>0.22459999999999999</v>
      </c>
      <c r="H37">
        <v>7.49</v>
      </c>
      <c r="I37">
        <v>24.66</v>
      </c>
      <c r="J37">
        <v>23</v>
      </c>
      <c r="K37">
        <v>1</v>
      </c>
      <c r="L37">
        <v>23.82</v>
      </c>
      <c r="M37">
        <v>6.14</v>
      </c>
      <c r="N37">
        <v>24</v>
      </c>
      <c r="O37">
        <v>267</v>
      </c>
      <c r="P37" s="3">
        <v>73.925888389986156</v>
      </c>
      <c r="Q37"/>
      <c r="R37"/>
      <c r="S37"/>
      <c r="T37"/>
      <c r="U37"/>
      <c r="V37"/>
      <c r="W37"/>
      <c r="X37"/>
      <c r="Y37"/>
    </row>
    <row r="38" spans="1:25" x14ac:dyDescent="0.25">
      <c r="A38"/>
      <c r="B38" s="2">
        <v>45777.875</v>
      </c>
      <c r="C38" s="1">
        <f t="shared" si="0"/>
        <v>216</v>
      </c>
      <c r="D38" s="1">
        <v>16</v>
      </c>
      <c r="E38" s="1">
        <v>1009</v>
      </c>
      <c r="F38"/>
      <c r="G38"/>
      <c r="H38"/>
      <c r="I38"/>
      <c r="J38"/>
      <c r="K38"/>
      <c r="L38"/>
      <c r="M38"/>
      <c r="N38"/>
      <c r="O38"/>
      <c r="P38" s="3"/>
      <c r="Q38"/>
      <c r="R38"/>
      <c r="S38"/>
      <c r="T38"/>
      <c r="U38"/>
      <c r="V38"/>
      <c r="W38"/>
      <c r="X38"/>
      <c r="Y38"/>
    </row>
    <row r="39" spans="1:25" x14ac:dyDescent="0.25">
      <c r="A39"/>
      <c r="B39" s="2">
        <v>45778.125</v>
      </c>
      <c r="C39" s="1">
        <f t="shared" si="0"/>
        <v>222</v>
      </c>
      <c r="D39" s="1">
        <v>16</v>
      </c>
      <c r="E39" s="1">
        <v>1008</v>
      </c>
      <c r="F39"/>
      <c r="G39"/>
      <c r="H39"/>
      <c r="I39"/>
      <c r="J39"/>
      <c r="K39"/>
      <c r="L39"/>
      <c r="M39"/>
      <c r="N39"/>
      <c r="O39"/>
      <c r="P39" s="3"/>
      <c r="Q39"/>
      <c r="R39"/>
      <c r="S39"/>
      <c r="T39"/>
      <c r="U39"/>
      <c r="V39"/>
      <c r="W39"/>
      <c r="X39"/>
      <c r="Y39"/>
    </row>
    <row r="40" spans="1:25" x14ac:dyDescent="0.25">
      <c r="A40"/>
      <c r="B40" s="2">
        <v>45778.375</v>
      </c>
      <c r="C40" s="1">
        <f t="shared" si="0"/>
        <v>228</v>
      </c>
      <c r="D40" s="1">
        <v>15.2</v>
      </c>
      <c r="E40" s="1">
        <v>1007</v>
      </c>
      <c r="F40"/>
      <c r="G40"/>
      <c r="H40"/>
      <c r="I40"/>
      <c r="J40"/>
      <c r="K40"/>
      <c r="L40"/>
      <c r="M40"/>
      <c r="N40"/>
      <c r="O40"/>
      <c r="P40" s="3"/>
      <c r="Q40"/>
      <c r="R40"/>
      <c r="S40"/>
      <c r="T40"/>
      <c r="U40"/>
      <c r="V40"/>
      <c r="W40"/>
      <c r="X40"/>
      <c r="Y40"/>
    </row>
    <row r="41" spans="1:25" x14ac:dyDescent="0.25">
      <c r="A41" t="s">
        <v>120</v>
      </c>
      <c r="B41" s="2">
        <v>45778.625</v>
      </c>
      <c r="C41" s="1">
        <f t="shared" si="0"/>
        <v>234</v>
      </c>
      <c r="D41" s="1">
        <v>15.8</v>
      </c>
      <c r="E41" s="1">
        <v>1005</v>
      </c>
      <c r="F41"/>
      <c r="G41">
        <v>0.2581</v>
      </c>
      <c r="H41">
        <v>3.93</v>
      </c>
      <c r="I41">
        <v>20.65</v>
      </c>
      <c r="J41">
        <v>24</v>
      </c>
      <c r="K41">
        <v>1</v>
      </c>
      <c r="L41">
        <v>24.82</v>
      </c>
      <c r="M41">
        <v>6.59</v>
      </c>
      <c r="N41">
        <v>30</v>
      </c>
      <c r="O41">
        <v>216</v>
      </c>
      <c r="P41" s="3">
        <v>78.352519963709639</v>
      </c>
      <c r="Q41"/>
      <c r="R41">
        <v>3.9129998462499996E-2</v>
      </c>
      <c r="S41">
        <v>2.9614306125000001E-3</v>
      </c>
      <c r="T41">
        <v>5.2411019749999998E-3</v>
      </c>
      <c r="U41">
        <v>0.22223784108333333</v>
      </c>
      <c r="V41">
        <v>8.6012391153367727</v>
      </c>
      <c r="W41">
        <v>5.1878589916666676E-2</v>
      </c>
      <c r="X41">
        <v>0.10479496820833333</v>
      </c>
      <c r="Y41">
        <v>9.903826261114876</v>
      </c>
    </row>
    <row r="42" spans="1:25" x14ac:dyDescent="0.25">
      <c r="A42"/>
      <c r="B42" s="2">
        <v>45778.875</v>
      </c>
      <c r="C42" s="1">
        <f t="shared" si="0"/>
        <v>240</v>
      </c>
      <c r="D42" s="1">
        <v>16</v>
      </c>
      <c r="E42" s="1">
        <v>1005</v>
      </c>
      <c r="F42"/>
      <c r="G42"/>
      <c r="H42"/>
      <c r="I42"/>
      <c r="J42"/>
      <c r="K42"/>
      <c r="L42"/>
      <c r="M42"/>
      <c r="N42"/>
      <c r="O42"/>
      <c r="P42" s="3"/>
      <c r="Q42"/>
      <c r="R42"/>
      <c r="S42"/>
      <c r="T42"/>
      <c r="U42"/>
      <c r="V42"/>
      <c r="W42"/>
      <c r="X42"/>
      <c r="Y42"/>
    </row>
    <row r="43" spans="1:25" x14ac:dyDescent="0.25">
      <c r="A43"/>
      <c r="B43" s="2">
        <v>45779.125</v>
      </c>
      <c r="C43" s="1">
        <f t="shared" si="0"/>
        <v>246</v>
      </c>
      <c r="D43" s="1">
        <v>15.5</v>
      </c>
      <c r="E43" s="1">
        <v>1005</v>
      </c>
      <c r="F43"/>
      <c r="G43"/>
      <c r="H43"/>
      <c r="I43"/>
      <c r="J43"/>
      <c r="K43"/>
      <c r="L43"/>
      <c r="M43"/>
      <c r="N43"/>
      <c r="O43"/>
      <c r="P43" s="3"/>
      <c r="Q43"/>
      <c r="R43"/>
      <c r="S43"/>
      <c r="T43"/>
      <c r="U43"/>
      <c r="V43"/>
      <c r="W43"/>
      <c r="X43"/>
      <c r="Y43"/>
    </row>
    <row r="44" spans="1:25" x14ac:dyDescent="0.25">
      <c r="A44" t="s">
        <v>121</v>
      </c>
      <c r="B44" s="2">
        <v>45779.375</v>
      </c>
      <c r="C44" s="1">
        <f t="shared" si="0"/>
        <v>252</v>
      </c>
      <c r="D44" s="1">
        <v>14</v>
      </c>
      <c r="E44" s="1">
        <v>1004</v>
      </c>
      <c r="F44">
        <v>41.01</v>
      </c>
      <c r="G44">
        <v>0.23780000000000001</v>
      </c>
      <c r="H44">
        <v>1.79</v>
      </c>
      <c r="I44">
        <v>19.760000000000002</v>
      </c>
      <c r="J44">
        <v>24</v>
      </c>
      <c r="K44">
        <v>3</v>
      </c>
      <c r="L44">
        <v>26.46</v>
      </c>
      <c r="M44">
        <v>6.43</v>
      </c>
      <c r="N44">
        <v>39</v>
      </c>
      <c r="O44">
        <v>200</v>
      </c>
      <c r="P44" s="3">
        <v>79.968586680351393</v>
      </c>
      <c r="Q44"/>
      <c r="R44"/>
      <c r="S44"/>
      <c r="T44"/>
      <c r="U44"/>
      <c r="V44"/>
      <c r="W44"/>
      <c r="X44"/>
      <c r="Y44"/>
    </row>
    <row r="45" spans="1:25" x14ac:dyDescent="0.25">
      <c r="A45"/>
      <c r="B45" s="2">
        <v>45779.625</v>
      </c>
      <c r="C45" s="1">
        <f t="shared" si="0"/>
        <v>258</v>
      </c>
      <c r="D45" s="1">
        <v>14.9</v>
      </c>
      <c r="E45" s="1">
        <v>1003</v>
      </c>
      <c r="F45"/>
      <c r="G45"/>
      <c r="H45"/>
      <c r="I45"/>
      <c r="J45"/>
      <c r="K45"/>
      <c r="L45"/>
      <c r="M45"/>
      <c r="N45"/>
      <c r="O45"/>
      <c r="P45" s="3"/>
      <c r="Q45"/>
      <c r="R45"/>
      <c r="S45"/>
      <c r="T45"/>
      <c r="U45"/>
      <c r="V45"/>
      <c r="W45"/>
      <c r="X45"/>
      <c r="Y45"/>
    </row>
    <row r="46" spans="1:25" x14ac:dyDescent="0.25">
      <c r="A46"/>
      <c r="B46" s="2">
        <v>45779.875</v>
      </c>
      <c r="C46" s="1">
        <f t="shared" si="0"/>
        <v>264</v>
      </c>
      <c r="D46" s="1">
        <v>15.5</v>
      </c>
      <c r="E46" s="1">
        <v>1002</v>
      </c>
      <c r="F46"/>
      <c r="G46"/>
      <c r="H46"/>
      <c r="I46"/>
      <c r="J46"/>
      <c r="K46"/>
      <c r="L46"/>
      <c r="M46"/>
      <c r="N46"/>
      <c r="O46"/>
      <c r="P46" s="3"/>
      <c r="Q46"/>
      <c r="R46"/>
      <c r="S46"/>
      <c r="T46"/>
      <c r="U46"/>
      <c r="V46"/>
      <c r="W46"/>
      <c r="X46"/>
      <c r="Y46"/>
    </row>
    <row r="47" spans="1:25" x14ac:dyDescent="0.25">
      <c r="A47"/>
      <c r="B47" s="2">
        <v>45780.125</v>
      </c>
      <c r="C47" s="1">
        <f t="shared" si="0"/>
        <v>270</v>
      </c>
      <c r="D47" s="1">
        <v>15</v>
      </c>
      <c r="E47" s="1">
        <v>1002</v>
      </c>
      <c r="F47"/>
      <c r="G47"/>
      <c r="H47"/>
      <c r="I47"/>
      <c r="J47"/>
      <c r="K47"/>
      <c r="L47"/>
      <c r="M47"/>
      <c r="N47"/>
      <c r="O47"/>
      <c r="P47" s="3"/>
      <c r="Q47"/>
      <c r="R47"/>
      <c r="S47"/>
      <c r="T47"/>
      <c r="U47"/>
      <c r="V47"/>
      <c r="W47"/>
      <c r="X47"/>
      <c r="Y47"/>
    </row>
    <row r="48" spans="1:25" x14ac:dyDescent="0.25">
      <c r="A48" t="s">
        <v>122</v>
      </c>
      <c r="B48" s="2">
        <v>45780.375</v>
      </c>
      <c r="C48" s="1">
        <f t="shared" si="0"/>
        <v>276</v>
      </c>
      <c r="D48" s="1">
        <v>15.4</v>
      </c>
      <c r="E48" s="1">
        <v>1002</v>
      </c>
      <c r="F48"/>
      <c r="G48">
        <v>0.2833</v>
      </c>
      <c r="H48">
        <v>2.48</v>
      </c>
      <c r="I48">
        <v>13.26</v>
      </c>
      <c r="J48">
        <v>34</v>
      </c>
      <c r="K48">
        <v>1</v>
      </c>
      <c r="L48">
        <v>34.82</v>
      </c>
      <c r="M48">
        <v>6.66</v>
      </c>
      <c r="N48">
        <v>27</v>
      </c>
      <c r="O48">
        <v>212</v>
      </c>
      <c r="P48" s="3">
        <v>85.380229000236994</v>
      </c>
      <c r="Q48"/>
      <c r="R48">
        <v>4.3252866500000001E-2</v>
      </c>
      <c r="S48">
        <v>3.2695078912500001E-3</v>
      </c>
      <c r="T48">
        <v>2.2820887033333332E-3</v>
      </c>
      <c r="U48">
        <v>0.21897035925</v>
      </c>
      <c r="V48">
        <v>10.357273940871188</v>
      </c>
      <c r="W48">
        <v>4.8665342083333334E-2</v>
      </c>
      <c r="X48">
        <v>9.504343970833333E-2</v>
      </c>
      <c r="Y48">
        <v>8.9684764248194995</v>
      </c>
    </row>
    <row r="49" spans="1:25" x14ac:dyDescent="0.25">
      <c r="A49"/>
      <c r="B49" s="2">
        <v>45780.625</v>
      </c>
      <c r="C49" s="1">
        <f t="shared" si="0"/>
        <v>282</v>
      </c>
      <c r="D49" s="1">
        <v>16</v>
      </c>
      <c r="E49" s="1">
        <v>1001</v>
      </c>
      <c r="F49"/>
      <c r="G49"/>
      <c r="H49"/>
      <c r="I49"/>
      <c r="J49"/>
      <c r="K49"/>
      <c r="L49"/>
      <c r="M49"/>
      <c r="N49"/>
      <c r="O49"/>
      <c r="P49" s="3"/>
      <c r="Q49"/>
      <c r="R49"/>
      <c r="S49"/>
      <c r="T49"/>
      <c r="U49"/>
      <c r="V49"/>
      <c r="W49"/>
      <c r="X49"/>
      <c r="Y49"/>
    </row>
    <row r="50" spans="1:25" x14ac:dyDescent="0.25">
      <c r="A50"/>
      <c r="B50" s="2">
        <v>45780.875</v>
      </c>
      <c r="C50" s="1">
        <f t="shared" si="0"/>
        <v>288</v>
      </c>
      <c r="D50" s="1">
        <v>16</v>
      </c>
      <c r="E50" s="1">
        <v>1000</v>
      </c>
      <c r="F50"/>
      <c r="G50"/>
      <c r="H50"/>
      <c r="I50"/>
      <c r="J50"/>
      <c r="K50"/>
      <c r="L50"/>
      <c r="M50"/>
      <c r="N50"/>
      <c r="O50"/>
      <c r="P50" s="3"/>
      <c r="Q50"/>
      <c r="R50"/>
      <c r="S50"/>
      <c r="T50"/>
      <c r="U50"/>
      <c r="V50"/>
      <c r="W50"/>
      <c r="X50"/>
      <c r="Y50"/>
    </row>
    <row r="51" spans="1:25" x14ac:dyDescent="0.25">
      <c r="A51"/>
      <c r="B51" s="2">
        <v>45781.125</v>
      </c>
      <c r="C51" s="1">
        <f t="shared" si="0"/>
        <v>294</v>
      </c>
      <c r="D51" s="1">
        <v>15.3</v>
      </c>
      <c r="E51" s="1">
        <v>1000</v>
      </c>
      <c r="F51"/>
      <c r="G51"/>
      <c r="H51"/>
      <c r="I51"/>
      <c r="J51"/>
      <c r="K51"/>
      <c r="L51"/>
      <c r="M51"/>
      <c r="N51"/>
      <c r="O51"/>
      <c r="P51" s="3"/>
      <c r="Q51"/>
      <c r="R51"/>
      <c r="S51"/>
      <c r="T51"/>
      <c r="U51"/>
      <c r="V51"/>
      <c r="W51"/>
      <c r="X51"/>
      <c r="Y51"/>
    </row>
    <row r="52" spans="1:25" x14ac:dyDescent="0.25">
      <c r="A52" t="s">
        <v>123</v>
      </c>
      <c r="B52" s="2">
        <v>45781.375</v>
      </c>
      <c r="C52" s="1">
        <f t="shared" si="0"/>
        <v>300</v>
      </c>
      <c r="D52" s="1">
        <v>14.5</v>
      </c>
      <c r="E52" s="1">
        <v>999</v>
      </c>
      <c r="F52"/>
      <c r="G52">
        <v>0.28449999999999998</v>
      </c>
      <c r="H52">
        <v>0.33</v>
      </c>
      <c r="I52">
        <v>8.94</v>
      </c>
      <c r="J52">
        <v>34</v>
      </c>
      <c r="K52">
        <v>0</v>
      </c>
      <c r="L52">
        <v>34</v>
      </c>
      <c r="M52">
        <v>6.72</v>
      </c>
      <c r="N52">
        <v>24</v>
      </c>
      <c r="O52">
        <v>211</v>
      </c>
      <c r="P52" s="3">
        <v>88.781963393501925</v>
      </c>
      <c r="Q52"/>
      <c r="R52"/>
      <c r="S52"/>
      <c r="T52"/>
      <c r="U52"/>
      <c r="V52"/>
      <c r="W52"/>
      <c r="X52"/>
      <c r="Y52"/>
    </row>
    <row r="53" spans="1:25" x14ac:dyDescent="0.25">
      <c r="A53"/>
      <c r="B53" s="2">
        <v>45781.625</v>
      </c>
      <c r="C53" s="1">
        <f t="shared" si="0"/>
        <v>306</v>
      </c>
      <c r="D53" s="1">
        <v>15</v>
      </c>
      <c r="E53" s="1">
        <v>998</v>
      </c>
      <c r="F53"/>
      <c r="G53"/>
      <c r="H53"/>
      <c r="I53"/>
      <c r="J53"/>
      <c r="K53"/>
      <c r="L53"/>
      <c r="M53"/>
      <c r="N53"/>
      <c r="O53"/>
      <c r="P53" s="3"/>
      <c r="Q53"/>
      <c r="R53"/>
      <c r="S53"/>
      <c r="T53"/>
      <c r="U53"/>
      <c r="V53"/>
      <c r="W53"/>
      <c r="X53"/>
      <c r="Y53"/>
    </row>
    <row r="54" spans="1:25" x14ac:dyDescent="0.25">
      <c r="A54"/>
      <c r="B54" s="2">
        <v>45781.875</v>
      </c>
      <c r="C54" s="1">
        <f t="shared" si="0"/>
        <v>312</v>
      </c>
      <c r="D54" s="1">
        <v>15</v>
      </c>
      <c r="E54" s="1">
        <v>998</v>
      </c>
      <c r="F54"/>
      <c r="G54"/>
      <c r="H54"/>
      <c r="I54"/>
      <c r="J54"/>
      <c r="K54"/>
      <c r="L54"/>
      <c r="M54"/>
      <c r="N54"/>
      <c r="O54"/>
      <c r="P54" s="3"/>
      <c r="Q54"/>
      <c r="R54"/>
      <c r="S54"/>
      <c r="T54"/>
      <c r="U54"/>
      <c r="V54"/>
      <c r="W54"/>
      <c r="X54"/>
      <c r="Y54"/>
    </row>
    <row r="55" spans="1:25" x14ac:dyDescent="0.25">
      <c r="A55"/>
      <c r="B55" s="2">
        <v>45782.125</v>
      </c>
      <c r="C55" s="1">
        <f t="shared" si="0"/>
        <v>318</v>
      </c>
      <c r="D55" s="1">
        <v>14.8</v>
      </c>
      <c r="E55" s="1">
        <v>998</v>
      </c>
      <c r="F55"/>
      <c r="G55"/>
      <c r="H55"/>
      <c r="I55"/>
      <c r="J55"/>
      <c r="K55"/>
      <c r="L55"/>
      <c r="M55"/>
      <c r="N55"/>
      <c r="O55"/>
      <c r="P55" s="3"/>
      <c r="Q55"/>
      <c r="R55"/>
      <c r="S55"/>
      <c r="T55"/>
      <c r="U55"/>
      <c r="V55"/>
      <c r="W55"/>
      <c r="X55"/>
      <c r="Y55"/>
    </row>
    <row r="56" spans="1:25" x14ac:dyDescent="0.25">
      <c r="A56" t="s">
        <v>124</v>
      </c>
      <c r="B56" s="2">
        <v>45782.375</v>
      </c>
      <c r="C56" s="1">
        <f t="shared" si="0"/>
        <v>324</v>
      </c>
      <c r="D56" s="1">
        <v>15</v>
      </c>
      <c r="E56" s="1">
        <v>998</v>
      </c>
      <c r="F56">
        <v>33.64</v>
      </c>
      <c r="G56">
        <v>0.1794</v>
      </c>
      <c r="H56">
        <v>0.19</v>
      </c>
      <c r="I56">
        <v>6.49</v>
      </c>
      <c r="J56">
        <v>24</v>
      </c>
      <c r="K56">
        <v>0</v>
      </c>
      <c r="L56">
        <v>24</v>
      </c>
      <c r="M56">
        <v>6.63</v>
      </c>
      <c r="N56">
        <v>20</v>
      </c>
      <c r="O56">
        <v>216</v>
      </c>
      <c r="P56" s="3">
        <v>88.781963393501925</v>
      </c>
      <c r="Q56"/>
      <c r="R56">
        <v>4.303649670833333E-2</v>
      </c>
      <c r="S56">
        <v>4.1371011137500005E-3</v>
      </c>
      <c r="T56">
        <v>1.0159081058333333E-2</v>
      </c>
      <c r="U56">
        <v>0.24123824354166665</v>
      </c>
      <c r="V56">
        <v>9.5846454557383787</v>
      </c>
      <c r="W56">
        <v>8.6510380916666671E-2</v>
      </c>
      <c r="X56">
        <v>0.10904289333333334</v>
      </c>
      <c r="Y56">
        <v>11.903405814242562</v>
      </c>
    </row>
    <row r="57" spans="1:25" x14ac:dyDescent="0.25">
      <c r="A57" t="s">
        <v>125</v>
      </c>
      <c r="B57" s="2">
        <v>45782.625</v>
      </c>
      <c r="C57" s="1">
        <f t="shared" si="0"/>
        <v>330</v>
      </c>
      <c r="D57" s="1">
        <v>16</v>
      </c>
      <c r="E57" s="1">
        <v>996</v>
      </c>
      <c r="F57">
        <v>31.56</v>
      </c>
      <c r="G57">
        <v>0.18160000000000001</v>
      </c>
      <c r="H57">
        <v>0</v>
      </c>
      <c r="I57">
        <v>6.22</v>
      </c>
      <c r="J57">
        <v>14</v>
      </c>
      <c r="K57">
        <v>0</v>
      </c>
      <c r="L57">
        <v>14</v>
      </c>
      <c r="M57">
        <v>6.99</v>
      </c>
      <c r="N57">
        <v>24</v>
      </c>
      <c r="O57">
        <v>214</v>
      </c>
      <c r="P57" s="3">
        <v>91.787956780548555</v>
      </c>
      <c r="Q57"/>
      <c r="R57"/>
      <c r="S57"/>
      <c r="T57"/>
      <c r="U57"/>
      <c r="V57"/>
      <c r="W57"/>
      <c r="X57"/>
      <c r="Y57"/>
    </row>
    <row r="58" spans="1:25" x14ac:dyDescent="0.25">
      <c r="A58"/>
      <c r="B58" s="2">
        <v>45782.875</v>
      </c>
      <c r="C58" s="1">
        <f t="shared" si="0"/>
        <v>336</v>
      </c>
      <c r="D58" s="1">
        <v>15.8</v>
      </c>
      <c r="E58" s="1">
        <v>997</v>
      </c>
      <c r="F58"/>
      <c r="G58"/>
      <c r="H58"/>
      <c r="I58"/>
      <c r="J58"/>
      <c r="K58"/>
      <c r="L58"/>
      <c r="M58"/>
      <c r="N58"/>
      <c r="O58"/>
      <c r="P58" s="3"/>
      <c r="Q58"/>
      <c r="R58"/>
      <c r="S58"/>
      <c r="T58"/>
      <c r="U58"/>
      <c r="V58"/>
      <c r="W58"/>
      <c r="X58"/>
      <c r="Y58"/>
    </row>
    <row r="59" spans="1:25" x14ac:dyDescent="0.25">
      <c r="A59"/>
      <c r="B59" s="2">
        <v>45783.125</v>
      </c>
      <c r="C59" s="1">
        <f t="shared" si="0"/>
        <v>342</v>
      </c>
      <c r="D59" s="1">
        <v>15</v>
      </c>
      <c r="E59" s="1">
        <v>997</v>
      </c>
      <c r="F59"/>
      <c r="G59"/>
      <c r="H59"/>
      <c r="I59"/>
      <c r="J59"/>
      <c r="K59"/>
      <c r="L59"/>
      <c r="M59"/>
      <c r="N59"/>
      <c r="O59"/>
      <c r="P59" s="3"/>
      <c r="Q59"/>
      <c r="R59"/>
      <c r="S59"/>
      <c r="T59"/>
      <c r="U59"/>
      <c r="V59"/>
      <c r="W59"/>
      <c r="X59"/>
      <c r="Y59"/>
    </row>
    <row r="60" spans="1:25" x14ac:dyDescent="0.25">
      <c r="A60" t="s">
        <v>126</v>
      </c>
      <c r="B60" s="2">
        <v>45783.375</v>
      </c>
      <c r="C60" s="1">
        <f t="shared" si="0"/>
        <v>348</v>
      </c>
      <c r="D60" s="1">
        <v>14.5</v>
      </c>
      <c r="E60" s="1">
        <v>996</v>
      </c>
      <c r="F60">
        <v>36.020000000000003</v>
      </c>
      <c r="G60">
        <v>0.1706</v>
      </c>
      <c r="H60">
        <v>0</v>
      </c>
      <c r="I60">
        <v>4.22</v>
      </c>
      <c r="J60"/>
      <c r="K60"/>
      <c r="L60"/>
      <c r="M60">
        <v>6.63</v>
      </c>
      <c r="N60">
        <v>27</v>
      </c>
      <c r="O60">
        <v>219</v>
      </c>
      <c r="P60" s="3">
        <v>90.966979155618432</v>
      </c>
      <c r="Q60"/>
      <c r="R60"/>
      <c r="S60"/>
      <c r="T60"/>
      <c r="U60"/>
      <c r="V60"/>
      <c r="W60"/>
      <c r="X60"/>
      <c r="Y60"/>
    </row>
    <row r="61" spans="1:25" x14ac:dyDescent="0.25">
      <c r="A61" t="s">
        <v>127</v>
      </c>
      <c r="B61" s="2">
        <v>45783.625</v>
      </c>
      <c r="C61" s="1">
        <f t="shared" si="0"/>
        <v>354</v>
      </c>
      <c r="D61" s="1">
        <v>16</v>
      </c>
      <c r="E61" s="1">
        <v>996</v>
      </c>
      <c r="F61">
        <v>31.41</v>
      </c>
      <c r="G61">
        <v>0.1661</v>
      </c>
      <c r="H61">
        <v>0</v>
      </c>
      <c r="I61">
        <v>3.77</v>
      </c>
      <c r="J61"/>
      <c r="K61"/>
      <c r="L61"/>
      <c r="M61">
        <v>6.72</v>
      </c>
      <c r="N61">
        <v>21</v>
      </c>
      <c r="O61">
        <v>220</v>
      </c>
      <c r="P61" s="3">
        <v>92.746867294110842</v>
      </c>
      <c r="Q61"/>
      <c r="R61"/>
      <c r="S61"/>
      <c r="T61"/>
      <c r="U61"/>
      <c r="V61"/>
      <c r="W61"/>
      <c r="X61"/>
      <c r="Y61"/>
    </row>
    <row r="62" spans="1:25" x14ac:dyDescent="0.25">
      <c r="A62"/>
      <c r="B62" s="2">
        <v>45783.875</v>
      </c>
      <c r="C62" s="1">
        <f t="shared" si="0"/>
        <v>360</v>
      </c>
      <c r="D62" s="1">
        <v>15.5</v>
      </c>
      <c r="E62" s="1">
        <v>996</v>
      </c>
      <c r="F62"/>
      <c r="G62"/>
      <c r="H62"/>
      <c r="I62"/>
      <c r="J62"/>
      <c r="K62"/>
      <c r="L62"/>
      <c r="M62"/>
      <c r="N62"/>
      <c r="O62"/>
      <c r="P62" s="3"/>
      <c r="Q62"/>
      <c r="R62"/>
      <c r="S62"/>
      <c r="T62"/>
      <c r="U62"/>
      <c r="V62"/>
      <c r="W62"/>
      <c r="X62"/>
      <c r="Y62"/>
    </row>
    <row r="63" spans="1:25" x14ac:dyDescent="0.25">
      <c r="A63"/>
      <c r="B63" s="2">
        <v>45784.125</v>
      </c>
      <c r="C63" s="1">
        <f t="shared" si="0"/>
        <v>366</v>
      </c>
      <c r="D63" s="1">
        <v>15.7</v>
      </c>
      <c r="E63" s="1">
        <v>995</v>
      </c>
      <c r="F63"/>
      <c r="G63"/>
      <c r="H63"/>
      <c r="I63"/>
      <c r="J63"/>
      <c r="K63"/>
      <c r="L63"/>
      <c r="M63"/>
      <c r="N63"/>
      <c r="O63"/>
      <c r="P63" s="3"/>
      <c r="Q63"/>
      <c r="R63"/>
      <c r="S63"/>
      <c r="T63"/>
      <c r="U63"/>
      <c r="V63"/>
      <c r="W63"/>
      <c r="X63"/>
      <c r="Y63"/>
    </row>
    <row r="64" spans="1:25" x14ac:dyDescent="0.25">
      <c r="A64" t="s">
        <v>128</v>
      </c>
      <c r="B64" s="2">
        <v>45784.375</v>
      </c>
      <c r="C64" s="1">
        <f t="shared" si="0"/>
        <v>372</v>
      </c>
      <c r="D64" s="1">
        <v>15</v>
      </c>
      <c r="E64" s="1">
        <v>995</v>
      </c>
      <c r="F64">
        <v>30.57</v>
      </c>
      <c r="G64">
        <v>0.16167999999999999</v>
      </c>
      <c r="H64">
        <v>7.0000000000000007E-2</v>
      </c>
      <c r="I64">
        <v>8.9</v>
      </c>
      <c r="J64">
        <v>27</v>
      </c>
      <c r="K64">
        <v>4</v>
      </c>
      <c r="L64">
        <v>30.28</v>
      </c>
      <c r="M64">
        <v>6.84</v>
      </c>
      <c r="N64">
        <v>22</v>
      </c>
      <c r="O64">
        <v>222</v>
      </c>
      <c r="P64" s="3">
        <v>95.39009999999999</v>
      </c>
      <c r="Q64"/>
      <c r="R64">
        <v>3.8605468004166664E-2</v>
      </c>
      <c r="S64">
        <v>4.4070375166666668E-3</v>
      </c>
      <c r="T64">
        <v>8.6838211625000009E-3</v>
      </c>
      <c r="U64">
        <v>0.24097493208333332</v>
      </c>
      <c r="V64">
        <v>10.041049078185958</v>
      </c>
      <c r="W64">
        <v>8.2987479249999996E-2</v>
      </c>
      <c r="X64">
        <v>0.10658432295833334</v>
      </c>
      <c r="Y64">
        <v>10.4127262132328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64"/>
  <sheetViews>
    <sheetView tabSelected="1" topLeftCell="B1" zoomScale="70" zoomScaleNormal="70" workbookViewId="0">
      <selection activeCell="AC19" sqref="AC19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2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</row>
    <row r="2" spans="1:25" x14ac:dyDescent="0.25">
      <c r="A2" t="s">
        <v>129</v>
      </c>
      <c r="B2" s="2">
        <v>45768.875</v>
      </c>
      <c r="C2" s="1">
        <v>0</v>
      </c>
      <c r="D2" s="1">
        <v>18.5</v>
      </c>
      <c r="E2" s="1">
        <v>1059</v>
      </c>
      <c r="F2">
        <v>11.06</v>
      </c>
      <c r="G2">
        <v>5.2699999999999997E-2</v>
      </c>
      <c r="H2">
        <v>63.97</v>
      </c>
      <c r="I2">
        <v>77.099999999999994</v>
      </c>
      <c r="J2">
        <v>72</v>
      </c>
      <c r="K2">
        <v>30</v>
      </c>
      <c r="L2">
        <v>96.6</v>
      </c>
      <c r="M2">
        <v>2.27</v>
      </c>
      <c r="N2">
        <v>23</v>
      </c>
      <c r="O2">
        <v>172</v>
      </c>
      <c r="P2" s="3">
        <v>7.0497581440460975</v>
      </c>
      <c r="Q2">
        <v>41</v>
      </c>
      <c r="R2"/>
      <c r="S2"/>
      <c r="T2"/>
      <c r="U2"/>
      <c r="V2"/>
      <c r="W2"/>
      <c r="X2"/>
      <c r="Y2"/>
    </row>
    <row r="3" spans="1:25" x14ac:dyDescent="0.25">
      <c r="A3"/>
      <c r="B3" s="2">
        <v>45769.125</v>
      </c>
      <c r="C3" s="1">
        <f t="shared" ref="C3:C64" si="0">(B3-B2)*24+C2</f>
        <v>6</v>
      </c>
      <c r="D3" s="1">
        <v>12.5</v>
      </c>
      <c r="E3" s="1">
        <v>1062</v>
      </c>
      <c r="F3"/>
      <c r="G3"/>
      <c r="H3"/>
      <c r="I3"/>
      <c r="J3"/>
      <c r="K3"/>
      <c r="L3"/>
      <c r="M3"/>
      <c r="N3"/>
      <c r="O3"/>
      <c r="P3" s="3"/>
      <c r="Q3"/>
      <c r="R3"/>
      <c r="S3"/>
      <c r="T3"/>
      <c r="U3"/>
      <c r="V3"/>
      <c r="W3"/>
      <c r="X3"/>
      <c r="Y3"/>
    </row>
    <row r="4" spans="1:25" x14ac:dyDescent="0.25">
      <c r="A4" t="s">
        <v>130</v>
      </c>
      <c r="B4" s="2">
        <v>45769.375</v>
      </c>
      <c r="C4" s="1">
        <f t="shared" si="0"/>
        <v>12</v>
      </c>
      <c r="D4" s="1">
        <v>13</v>
      </c>
      <c r="E4" s="1">
        <v>1062</v>
      </c>
      <c r="F4">
        <v>7.14</v>
      </c>
      <c r="G4">
        <v>3.6600000000000001E-2</v>
      </c>
      <c r="H4">
        <v>63.03</v>
      </c>
      <c r="I4">
        <v>75.45</v>
      </c>
      <c r="J4">
        <v>74</v>
      </c>
      <c r="K4">
        <v>33</v>
      </c>
      <c r="L4">
        <v>101.06</v>
      </c>
      <c r="M4">
        <v>2.33</v>
      </c>
      <c r="N4">
        <v>21</v>
      </c>
      <c r="O4">
        <v>168</v>
      </c>
      <c r="P4" s="3">
        <v>6.9275185213756938</v>
      </c>
      <c r="Q4"/>
      <c r="R4"/>
      <c r="S4"/>
      <c r="T4"/>
      <c r="U4"/>
      <c r="V4"/>
      <c r="W4"/>
      <c r="X4"/>
      <c r="Y4"/>
    </row>
    <row r="5" spans="1:25" x14ac:dyDescent="0.25">
      <c r="A5" t="s">
        <v>131</v>
      </c>
      <c r="B5" s="2">
        <v>45769.625</v>
      </c>
      <c r="C5" s="1">
        <f t="shared" si="0"/>
        <v>18</v>
      </c>
      <c r="D5" s="1">
        <v>13</v>
      </c>
      <c r="E5" s="1">
        <v>1061</v>
      </c>
      <c r="F5">
        <v>12.06</v>
      </c>
      <c r="G5">
        <v>5.7200000000000001E-2</v>
      </c>
      <c r="H5">
        <v>63.83</v>
      </c>
      <c r="I5">
        <v>78.349999999999994</v>
      </c>
      <c r="J5">
        <v>73</v>
      </c>
      <c r="K5">
        <v>32</v>
      </c>
      <c r="L5">
        <v>99.24</v>
      </c>
      <c r="M5">
        <v>2.27</v>
      </c>
      <c r="N5">
        <v>38</v>
      </c>
      <c r="O5">
        <v>174</v>
      </c>
      <c r="P5" s="3">
        <v>8.0284133967519047</v>
      </c>
      <c r="Q5"/>
      <c r="R5"/>
      <c r="S5"/>
      <c r="T5"/>
      <c r="U5"/>
      <c r="V5"/>
      <c r="W5"/>
      <c r="X5"/>
      <c r="Y5"/>
    </row>
    <row r="6" spans="1:25" x14ac:dyDescent="0.25">
      <c r="A6"/>
      <c r="B6" s="2">
        <v>45769.875</v>
      </c>
      <c r="C6" s="1">
        <f t="shared" si="0"/>
        <v>24</v>
      </c>
      <c r="D6" s="1">
        <v>13.5</v>
      </c>
      <c r="E6" s="1">
        <v>1061</v>
      </c>
      <c r="F6"/>
      <c r="G6"/>
      <c r="H6"/>
      <c r="I6"/>
      <c r="J6"/>
      <c r="K6"/>
      <c r="L6"/>
      <c r="M6"/>
      <c r="N6"/>
      <c r="O6"/>
      <c r="P6" s="3"/>
      <c r="Q6"/>
      <c r="R6"/>
      <c r="S6"/>
      <c r="T6"/>
      <c r="U6"/>
      <c r="V6"/>
      <c r="W6"/>
      <c r="X6"/>
      <c r="Y6"/>
    </row>
    <row r="7" spans="1:25" x14ac:dyDescent="0.25">
      <c r="A7"/>
      <c r="B7" s="2">
        <v>45770.125</v>
      </c>
      <c r="C7" s="1">
        <f t="shared" si="0"/>
        <v>30</v>
      </c>
      <c r="D7" s="1">
        <v>14</v>
      </c>
      <c r="E7" s="1">
        <v>1061</v>
      </c>
      <c r="F7"/>
      <c r="G7"/>
      <c r="H7"/>
      <c r="I7"/>
      <c r="J7"/>
      <c r="K7"/>
      <c r="L7"/>
      <c r="M7"/>
      <c r="N7"/>
      <c r="O7"/>
      <c r="P7" s="3"/>
      <c r="Q7"/>
      <c r="R7"/>
      <c r="S7"/>
      <c r="T7"/>
      <c r="U7"/>
      <c r="V7"/>
      <c r="W7"/>
      <c r="X7"/>
      <c r="Y7"/>
    </row>
    <row r="8" spans="1:25" x14ac:dyDescent="0.25">
      <c r="A8" t="s">
        <v>132</v>
      </c>
      <c r="B8" s="2">
        <v>45770.375</v>
      </c>
      <c r="C8" s="1">
        <f t="shared" si="0"/>
        <v>36</v>
      </c>
      <c r="D8" s="1">
        <v>13.5</v>
      </c>
      <c r="E8" s="1">
        <v>1061</v>
      </c>
      <c r="F8">
        <v>8.6</v>
      </c>
      <c r="G8">
        <v>1.1599999999999999E-2</v>
      </c>
      <c r="H8">
        <v>63.27</v>
      </c>
      <c r="I8">
        <v>75.12</v>
      </c>
      <c r="J8">
        <v>73</v>
      </c>
      <c r="K8">
        <v>33</v>
      </c>
      <c r="L8">
        <v>100.06</v>
      </c>
      <c r="M8">
        <v>2.5499999999999998</v>
      </c>
      <c r="N8">
        <v>28</v>
      </c>
      <c r="O8">
        <v>186</v>
      </c>
      <c r="P8" s="3">
        <v>7.9060096603209224</v>
      </c>
      <c r="Q8" s="1">
        <v>100</v>
      </c>
      <c r="R8"/>
      <c r="S8"/>
      <c r="T8"/>
      <c r="U8"/>
      <c r="V8"/>
      <c r="W8"/>
      <c r="X8"/>
      <c r="Y8"/>
    </row>
    <row r="9" spans="1:25" x14ac:dyDescent="0.25">
      <c r="A9" t="s">
        <v>133</v>
      </c>
      <c r="B9" s="2">
        <v>45770.625</v>
      </c>
      <c r="C9" s="1">
        <f t="shared" si="0"/>
        <v>42</v>
      </c>
      <c r="D9" s="1">
        <v>14.4</v>
      </c>
      <c r="E9" s="1">
        <v>1061</v>
      </c>
      <c r="F9">
        <v>9.52</v>
      </c>
      <c r="G9">
        <v>2.7400000000000001E-2</v>
      </c>
      <c r="H9">
        <v>63.48</v>
      </c>
      <c r="I9">
        <v>75.23</v>
      </c>
      <c r="J9">
        <v>94</v>
      </c>
      <c r="K9">
        <v>86</v>
      </c>
      <c r="L9">
        <v>164.51999999999998</v>
      </c>
      <c r="M9" s="7">
        <v>2.39</v>
      </c>
      <c r="N9">
        <v>21</v>
      </c>
      <c r="O9">
        <v>213</v>
      </c>
      <c r="P9" s="3">
        <v>12.079293914277432</v>
      </c>
      <c r="Q9"/>
      <c r="R9"/>
      <c r="S9"/>
      <c r="T9"/>
      <c r="U9"/>
      <c r="V9"/>
      <c r="W9"/>
      <c r="X9"/>
      <c r="Y9"/>
    </row>
    <row r="10" spans="1:25" x14ac:dyDescent="0.25">
      <c r="A10"/>
      <c r="B10" s="2">
        <v>45770.875</v>
      </c>
      <c r="C10" s="1">
        <f t="shared" si="0"/>
        <v>48</v>
      </c>
      <c r="D10" s="1">
        <v>14.2</v>
      </c>
      <c r="E10" s="1">
        <v>1060</v>
      </c>
      <c r="F10"/>
      <c r="G10"/>
      <c r="H10"/>
      <c r="I10"/>
      <c r="J10"/>
      <c r="K10"/>
      <c r="L10"/>
      <c r="M10"/>
      <c r="N10"/>
      <c r="O10"/>
      <c r="P10" s="3"/>
      <c r="Q10"/>
      <c r="R10"/>
      <c r="S10"/>
      <c r="T10"/>
      <c r="U10"/>
      <c r="V10"/>
      <c r="W10"/>
      <c r="X10"/>
      <c r="Y10"/>
    </row>
    <row r="11" spans="1:25" x14ac:dyDescent="0.25">
      <c r="A11"/>
      <c r="B11" s="2">
        <v>45771.125</v>
      </c>
      <c r="C11" s="1">
        <f t="shared" si="0"/>
        <v>54</v>
      </c>
      <c r="D11" s="1">
        <v>14.2</v>
      </c>
      <c r="E11" s="1">
        <v>1061</v>
      </c>
      <c r="F11"/>
      <c r="G11"/>
      <c r="H11"/>
      <c r="I11"/>
      <c r="J11"/>
      <c r="K11"/>
      <c r="L11"/>
      <c r="M11"/>
      <c r="N11"/>
      <c r="O11"/>
      <c r="P11" s="3"/>
      <c r="Q11"/>
      <c r="R11"/>
      <c r="S11"/>
      <c r="T11"/>
      <c r="U11"/>
      <c r="V11"/>
      <c r="W11"/>
      <c r="X11"/>
      <c r="Y11"/>
    </row>
    <row r="12" spans="1:25" x14ac:dyDescent="0.25">
      <c r="A12" t="s">
        <v>134</v>
      </c>
      <c r="B12" s="2">
        <v>45771.375</v>
      </c>
      <c r="C12" s="1">
        <f t="shared" si="0"/>
        <v>60</v>
      </c>
      <c r="D12" s="1">
        <v>15.5</v>
      </c>
      <c r="E12" s="1">
        <v>1059</v>
      </c>
      <c r="F12">
        <v>11.14</v>
      </c>
      <c r="G12">
        <v>7.4800000000000005E-2</v>
      </c>
      <c r="H12">
        <v>64.739999999999995</v>
      </c>
      <c r="I12">
        <v>77.010000000000005</v>
      </c>
      <c r="J12">
        <v>95</v>
      </c>
      <c r="K12">
        <v>83</v>
      </c>
      <c r="L12">
        <v>163.06</v>
      </c>
      <c r="M12">
        <v>2.4700000000000002</v>
      </c>
      <c r="N12">
        <v>21</v>
      </c>
      <c r="O12">
        <v>226</v>
      </c>
      <c r="P12" s="3">
        <v>8.6407402934200572</v>
      </c>
      <c r="Q12"/>
      <c r="R12"/>
      <c r="S12"/>
      <c r="T12"/>
      <c r="U12"/>
      <c r="V12"/>
      <c r="W12"/>
      <c r="X12"/>
      <c r="Y12"/>
    </row>
    <row r="13" spans="1:25" x14ac:dyDescent="0.25">
      <c r="A13" t="s">
        <v>135</v>
      </c>
      <c r="B13" s="2">
        <v>45771.625</v>
      </c>
      <c r="C13" s="1">
        <f t="shared" si="0"/>
        <v>66</v>
      </c>
      <c r="D13" s="1">
        <v>14.5</v>
      </c>
      <c r="E13" s="1">
        <v>1060</v>
      </c>
      <c r="F13">
        <v>11.52</v>
      </c>
      <c r="G13">
        <v>7.7299999999999994E-2</v>
      </c>
      <c r="H13">
        <v>62.9</v>
      </c>
      <c r="I13">
        <v>76.91</v>
      </c>
      <c r="J13">
        <v>92</v>
      </c>
      <c r="K13">
        <v>79</v>
      </c>
      <c r="L13">
        <v>156.78</v>
      </c>
      <c r="M13">
        <v>2.67</v>
      </c>
      <c r="N13">
        <v>45</v>
      </c>
      <c r="O13">
        <v>237</v>
      </c>
      <c r="P13" s="3">
        <v>10.726502361923067</v>
      </c>
      <c r="Q13"/>
      <c r="R13"/>
      <c r="S13"/>
      <c r="T13"/>
      <c r="U13"/>
      <c r="V13"/>
      <c r="W13"/>
      <c r="X13"/>
      <c r="Y13"/>
    </row>
    <row r="14" spans="1:25" x14ac:dyDescent="0.25">
      <c r="A14"/>
      <c r="B14" s="2">
        <v>45771.875</v>
      </c>
      <c r="C14" s="1">
        <f t="shared" si="0"/>
        <v>72</v>
      </c>
      <c r="D14" s="1">
        <v>16.3</v>
      </c>
      <c r="E14" s="1">
        <v>1060</v>
      </c>
      <c r="F14"/>
      <c r="G14"/>
      <c r="H14"/>
      <c r="I14"/>
      <c r="J14"/>
      <c r="K14"/>
      <c r="L14"/>
      <c r="M14"/>
      <c r="N14"/>
      <c r="O14"/>
      <c r="P14" s="3"/>
      <c r="Q14"/>
      <c r="R14"/>
      <c r="S14"/>
      <c r="T14"/>
      <c r="U14"/>
      <c r="V14"/>
      <c r="W14"/>
      <c r="X14"/>
      <c r="Y14"/>
    </row>
    <row r="15" spans="1:25" x14ac:dyDescent="0.25">
      <c r="A15"/>
      <c r="B15" s="2">
        <v>45772.125</v>
      </c>
      <c r="C15" s="1">
        <f t="shared" si="0"/>
        <v>78</v>
      </c>
      <c r="D15" s="1">
        <v>14</v>
      </c>
      <c r="E15" s="1">
        <v>1059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25" x14ac:dyDescent="0.25">
      <c r="A16" t="s">
        <v>136</v>
      </c>
      <c r="B16" s="2">
        <v>45772.375</v>
      </c>
      <c r="C16" s="1">
        <f t="shared" si="0"/>
        <v>84</v>
      </c>
      <c r="D16" s="1">
        <v>13</v>
      </c>
      <c r="E16" s="1">
        <v>1058</v>
      </c>
      <c r="F16">
        <v>8.76</v>
      </c>
      <c r="G16">
        <v>6.5699999999999995E-2</v>
      </c>
      <c r="H16">
        <v>58.17</v>
      </c>
      <c r="I16">
        <v>75.13</v>
      </c>
      <c r="J16">
        <v>85</v>
      </c>
      <c r="K16">
        <v>80</v>
      </c>
      <c r="L16">
        <v>150.6</v>
      </c>
      <c r="M16">
        <v>2.4500000000000002</v>
      </c>
      <c r="N16">
        <v>33</v>
      </c>
      <c r="O16">
        <v>258</v>
      </c>
      <c r="P16" s="3">
        <v>9.6215331950935656</v>
      </c>
      <c r="Q16"/>
      <c r="R16"/>
      <c r="S16"/>
      <c r="T16"/>
      <c r="U16"/>
      <c r="V16"/>
      <c r="W16"/>
      <c r="X16"/>
      <c r="Y16"/>
    </row>
    <row r="17" spans="1:25" x14ac:dyDescent="0.25">
      <c r="A17"/>
      <c r="B17" s="2">
        <v>45772.625</v>
      </c>
      <c r="C17" s="1">
        <f t="shared" si="0"/>
        <v>90</v>
      </c>
      <c r="D17" s="1">
        <v>13</v>
      </c>
      <c r="E17" s="1">
        <v>1058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</row>
    <row r="18" spans="1:25" x14ac:dyDescent="0.25">
      <c r="A18"/>
      <c r="B18" s="2">
        <v>45772.875</v>
      </c>
      <c r="C18" s="1">
        <f t="shared" si="0"/>
        <v>96</v>
      </c>
      <c r="D18" s="1">
        <v>14</v>
      </c>
      <c r="E18" s="1">
        <v>1058</v>
      </c>
      <c r="F18"/>
      <c r="G18"/>
      <c r="H18"/>
      <c r="I18"/>
      <c r="J18"/>
      <c r="K18"/>
      <c r="L18"/>
      <c r="M18"/>
      <c r="N18"/>
      <c r="O18"/>
      <c r="P18" s="3"/>
      <c r="Q18"/>
      <c r="R18"/>
      <c r="S18"/>
      <c r="T18"/>
      <c r="U18"/>
      <c r="V18"/>
      <c r="W18"/>
      <c r="X18"/>
      <c r="Y18"/>
    </row>
    <row r="19" spans="1:25" x14ac:dyDescent="0.25">
      <c r="A19"/>
      <c r="B19" s="2">
        <v>45773.125</v>
      </c>
      <c r="C19" s="1">
        <f t="shared" si="0"/>
        <v>102</v>
      </c>
      <c r="D19" s="1">
        <v>14</v>
      </c>
      <c r="E19" s="1">
        <v>1057</v>
      </c>
      <c r="F19"/>
      <c r="G19"/>
      <c r="H19"/>
      <c r="I19"/>
      <c r="J19"/>
      <c r="K19"/>
      <c r="L19"/>
      <c r="M19"/>
      <c r="N19"/>
      <c r="O19"/>
      <c r="P19" s="3"/>
      <c r="Q19"/>
      <c r="R19"/>
      <c r="S19"/>
      <c r="T19"/>
      <c r="U19"/>
      <c r="V19"/>
      <c r="W19"/>
      <c r="X19"/>
      <c r="Y19"/>
    </row>
    <row r="20" spans="1:25" x14ac:dyDescent="0.25">
      <c r="A20" t="s">
        <v>137</v>
      </c>
      <c r="B20" s="2">
        <v>45773.375</v>
      </c>
      <c r="C20" s="1">
        <f t="shared" si="0"/>
        <v>108</v>
      </c>
      <c r="D20" s="1">
        <v>13</v>
      </c>
      <c r="E20" s="1">
        <v>1056</v>
      </c>
      <c r="F20">
        <v>17.510000000000002</v>
      </c>
      <c r="G20">
        <v>7.2900000000000006E-2</v>
      </c>
      <c r="H20">
        <v>54.23</v>
      </c>
      <c r="I20">
        <v>66.52000000000001</v>
      </c>
      <c r="J20">
        <v>77</v>
      </c>
      <c r="K20">
        <v>69</v>
      </c>
      <c r="L20">
        <v>133.57999999999998</v>
      </c>
      <c r="M20">
        <v>3.2</v>
      </c>
      <c r="N20">
        <v>43</v>
      </c>
      <c r="O20">
        <v>279</v>
      </c>
      <c r="P20" s="3">
        <v>12.202399224080784</v>
      </c>
      <c r="Q20"/>
      <c r="R20">
        <v>3.2665565908333333E-2</v>
      </c>
      <c r="S20">
        <v>3.9882302308333331E-3</v>
      </c>
      <c r="T20">
        <v>0</v>
      </c>
      <c r="U20">
        <v>8.3974179750000003E-2</v>
      </c>
      <c r="V20">
        <v>0.94147142928436656</v>
      </c>
      <c r="W20">
        <v>1.0165320329166668E-2</v>
      </c>
      <c r="X20">
        <v>2.1668814508333335E-4</v>
      </c>
      <c r="Y20">
        <v>2.9682660396222449</v>
      </c>
    </row>
    <row r="21" spans="1:25" x14ac:dyDescent="0.25">
      <c r="A21" t="s">
        <v>138</v>
      </c>
      <c r="B21" s="2">
        <v>45773.625</v>
      </c>
      <c r="C21" s="1">
        <f t="shared" si="0"/>
        <v>114</v>
      </c>
      <c r="D21" s="1">
        <v>19</v>
      </c>
      <c r="E21" s="1">
        <v>1053</v>
      </c>
      <c r="F21">
        <v>27.57</v>
      </c>
      <c r="G21">
        <v>0.1096</v>
      </c>
      <c r="H21">
        <v>55.32</v>
      </c>
      <c r="I21">
        <v>65.099999999999994</v>
      </c>
      <c r="J21">
        <v>69</v>
      </c>
      <c r="K21">
        <v>58</v>
      </c>
      <c r="L21">
        <v>116.56</v>
      </c>
      <c r="M21">
        <v>3.36</v>
      </c>
      <c r="N21">
        <v>49</v>
      </c>
      <c r="O21">
        <v>288</v>
      </c>
      <c r="P21" s="3">
        <v>16.276540921344175</v>
      </c>
      <c r="Q21"/>
      <c r="R21"/>
      <c r="S21"/>
      <c r="T21"/>
      <c r="U21"/>
      <c r="V21"/>
      <c r="W21"/>
      <c r="X21"/>
      <c r="Y21"/>
    </row>
    <row r="22" spans="1:25" x14ac:dyDescent="0.25">
      <c r="A22"/>
      <c r="B22" s="2">
        <v>45773.875</v>
      </c>
      <c r="C22" s="1">
        <f t="shared" si="0"/>
        <v>120</v>
      </c>
      <c r="D22" s="1">
        <v>17.7</v>
      </c>
      <c r="E22" s="1">
        <v>1053</v>
      </c>
      <c r="F22"/>
      <c r="G22"/>
      <c r="H22"/>
      <c r="I22"/>
      <c r="J22"/>
      <c r="K22"/>
      <c r="L22"/>
      <c r="M22"/>
      <c r="N22"/>
      <c r="O22"/>
      <c r="P22" s="3"/>
      <c r="Q22"/>
      <c r="R22"/>
      <c r="S22"/>
      <c r="T22"/>
      <c r="U22"/>
      <c r="V22"/>
      <c r="W22"/>
      <c r="X22"/>
      <c r="Y22"/>
    </row>
    <row r="23" spans="1:25" x14ac:dyDescent="0.25">
      <c r="A23"/>
      <c r="B23" s="2">
        <v>45774.125</v>
      </c>
      <c r="C23" s="1">
        <f t="shared" si="0"/>
        <v>126</v>
      </c>
      <c r="D23" s="1">
        <v>18</v>
      </c>
      <c r="E23" s="1">
        <v>1048</v>
      </c>
      <c r="F23"/>
      <c r="G23"/>
      <c r="H23"/>
      <c r="I23"/>
      <c r="J23"/>
      <c r="K23"/>
      <c r="L23"/>
      <c r="M23"/>
      <c r="N23"/>
      <c r="O23"/>
      <c r="P23" s="3"/>
      <c r="Q23"/>
      <c r="R23"/>
      <c r="S23"/>
      <c r="T23"/>
      <c r="U23"/>
      <c r="V23"/>
      <c r="W23"/>
      <c r="X23"/>
      <c r="Y23"/>
    </row>
    <row r="24" spans="1:25" x14ac:dyDescent="0.25">
      <c r="A24"/>
      <c r="B24" s="2">
        <v>45774.375</v>
      </c>
      <c r="C24" s="1">
        <f t="shared" si="0"/>
        <v>132</v>
      </c>
      <c r="D24" s="1">
        <v>20.8</v>
      </c>
      <c r="E24" s="1">
        <v>1041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</row>
    <row r="25" spans="1:25" x14ac:dyDescent="0.25">
      <c r="A25" t="s">
        <v>139</v>
      </c>
      <c r="B25" s="2">
        <v>45774.625</v>
      </c>
      <c r="C25" s="1">
        <f t="shared" si="0"/>
        <v>138</v>
      </c>
      <c r="D25" s="1">
        <v>20.5</v>
      </c>
      <c r="E25" s="1">
        <v>1036</v>
      </c>
      <c r="F25">
        <v>62.9</v>
      </c>
      <c r="G25">
        <v>0.19189999999999999</v>
      </c>
      <c r="H25">
        <v>37.51</v>
      </c>
      <c r="I25">
        <v>56.24</v>
      </c>
      <c r="J25">
        <v>29</v>
      </c>
      <c r="K25">
        <v>1</v>
      </c>
      <c r="L25">
        <v>29.82</v>
      </c>
      <c r="M25">
        <v>4.76</v>
      </c>
      <c r="N25">
        <v>66</v>
      </c>
      <c r="O25">
        <v>255</v>
      </c>
      <c r="P25" s="3">
        <v>34.070260012196847</v>
      </c>
      <c r="Q25"/>
      <c r="R25">
        <v>2.3633332916666663E-2</v>
      </c>
      <c r="S25">
        <v>2.3550730237500003E-3</v>
      </c>
      <c r="T25">
        <v>1.7712121650000001E-3</v>
      </c>
      <c r="U25">
        <v>0.12811275608333333</v>
      </c>
      <c r="V25">
        <v>2.8805393535246115</v>
      </c>
      <c r="W25">
        <v>2.7801207449999997E-2</v>
      </c>
      <c r="X25">
        <v>6.322069158333333E-3</v>
      </c>
      <c r="Y25">
        <v>3.9711310279683198</v>
      </c>
    </row>
    <row r="26" spans="1:25" x14ac:dyDescent="0.25">
      <c r="A26"/>
      <c r="B26" s="2">
        <v>45774.875</v>
      </c>
      <c r="C26" s="1">
        <f t="shared" si="0"/>
        <v>144</v>
      </c>
      <c r="D26" s="1">
        <v>18.5</v>
      </c>
      <c r="E26" s="1">
        <v>1035</v>
      </c>
      <c r="F26"/>
      <c r="G26"/>
      <c r="H26"/>
      <c r="I26"/>
      <c r="J26"/>
      <c r="K26"/>
      <c r="L26"/>
      <c r="M26"/>
      <c r="N26"/>
      <c r="O26"/>
      <c r="P26" s="3"/>
      <c r="Q26"/>
      <c r="R26"/>
      <c r="S26"/>
      <c r="T26"/>
      <c r="U26"/>
      <c r="V26"/>
      <c r="W26"/>
      <c r="X26"/>
      <c r="Y26"/>
    </row>
    <row r="27" spans="1:25" x14ac:dyDescent="0.25">
      <c r="A27"/>
      <c r="B27" s="2">
        <v>45775.125</v>
      </c>
      <c r="C27" s="1">
        <f t="shared" si="0"/>
        <v>150</v>
      </c>
      <c r="D27" s="1">
        <v>18</v>
      </c>
      <c r="E27" s="1">
        <v>1031</v>
      </c>
      <c r="F27"/>
      <c r="G27"/>
      <c r="H27"/>
      <c r="I27"/>
      <c r="J27"/>
      <c r="K27"/>
      <c r="L27"/>
      <c r="M27"/>
      <c r="N27"/>
      <c r="O27"/>
      <c r="P27" s="3"/>
      <c r="Q27"/>
      <c r="R27"/>
      <c r="S27"/>
      <c r="T27"/>
      <c r="U27"/>
      <c r="V27"/>
      <c r="W27"/>
      <c r="X27"/>
      <c r="Y27"/>
    </row>
    <row r="28" spans="1:25" x14ac:dyDescent="0.25">
      <c r="A28" t="s">
        <v>140</v>
      </c>
      <c r="B28" s="2">
        <v>45775.375</v>
      </c>
      <c r="C28" s="1">
        <f t="shared" si="0"/>
        <v>156</v>
      </c>
      <c r="D28" s="1">
        <v>17.5</v>
      </c>
      <c r="E28" s="1">
        <v>1027</v>
      </c>
      <c r="F28">
        <v>47.54</v>
      </c>
      <c r="G28">
        <v>0.21790000000000001</v>
      </c>
      <c r="H28">
        <v>23.67</v>
      </c>
      <c r="I28">
        <v>44.6</v>
      </c>
      <c r="J28">
        <v>16</v>
      </c>
      <c r="K28">
        <v>1</v>
      </c>
      <c r="L28">
        <v>16.82</v>
      </c>
      <c r="M28">
        <v>5.46</v>
      </c>
      <c r="N28">
        <v>53</v>
      </c>
      <c r="O28">
        <v>225</v>
      </c>
      <c r="P28" s="3">
        <v>50.873910179270396</v>
      </c>
      <c r="Q28"/>
      <c r="R28">
        <v>3.7422847329166668E-2</v>
      </c>
      <c r="S28">
        <v>2.5917044237499997E-3</v>
      </c>
      <c r="T28">
        <v>7.7110174166666661E-3</v>
      </c>
      <c r="U28">
        <v>0.30119216125000003</v>
      </c>
      <c r="V28">
        <v>5.4593663376180084</v>
      </c>
      <c r="W28">
        <v>6.2030064374999999E-2</v>
      </c>
      <c r="X28">
        <v>5.9353198333333329E-2</v>
      </c>
      <c r="Y28">
        <v>8.9624492200540011</v>
      </c>
    </row>
    <row r="29" spans="1:25" x14ac:dyDescent="0.25">
      <c r="A29" t="s">
        <v>141</v>
      </c>
      <c r="B29" s="2">
        <v>45775.625</v>
      </c>
      <c r="C29" s="1">
        <f t="shared" si="0"/>
        <v>162</v>
      </c>
      <c r="D29" s="1">
        <v>16.100000000000001</v>
      </c>
      <c r="E29" s="1">
        <v>1025</v>
      </c>
      <c r="F29">
        <v>55.3</v>
      </c>
      <c r="G29">
        <v>0.22090000000000001</v>
      </c>
      <c r="H29">
        <v>16.32</v>
      </c>
      <c r="I29">
        <v>47.98</v>
      </c>
      <c r="J29">
        <v>13</v>
      </c>
      <c r="K29">
        <v>2</v>
      </c>
      <c r="L29">
        <v>14.64</v>
      </c>
      <c r="M29">
        <v>5.77</v>
      </c>
      <c r="N29">
        <v>75</v>
      </c>
      <c r="O29">
        <v>237</v>
      </c>
      <c r="P29" s="3">
        <v>55.167235757141412</v>
      </c>
      <c r="Q29"/>
      <c r="R29"/>
      <c r="S29"/>
      <c r="T29"/>
      <c r="U29"/>
      <c r="V29"/>
      <c r="W29"/>
      <c r="X29"/>
      <c r="Y29"/>
    </row>
    <row r="30" spans="1:25" x14ac:dyDescent="0.25">
      <c r="A30"/>
      <c r="B30" s="2">
        <v>45775.875</v>
      </c>
      <c r="C30" s="1">
        <f t="shared" si="0"/>
        <v>168</v>
      </c>
      <c r="D30" s="1">
        <v>16.5</v>
      </c>
      <c r="E30" s="1">
        <v>1023</v>
      </c>
      <c r="F30"/>
      <c r="G30"/>
      <c r="H30"/>
      <c r="I30"/>
      <c r="J30"/>
      <c r="K30"/>
      <c r="L30"/>
      <c r="M30"/>
      <c r="N30"/>
      <c r="O30"/>
      <c r="P30" s="3"/>
      <c r="Q30"/>
      <c r="R30"/>
      <c r="S30"/>
      <c r="T30"/>
      <c r="U30"/>
      <c r="V30"/>
      <c r="W30"/>
      <c r="X30"/>
      <c r="Y30"/>
    </row>
    <row r="31" spans="1:25" x14ac:dyDescent="0.25">
      <c r="A31"/>
      <c r="B31" s="2">
        <v>45776.125</v>
      </c>
      <c r="C31" s="1">
        <f t="shared" si="0"/>
        <v>174</v>
      </c>
      <c r="D31" s="1">
        <v>15.5</v>
      </c>
      <c r="E31" s="1">
        <v>1020</v>
      </c>
      <c r="F31"/>
      <c r="G31"/>
      <c r="H31"/>
      <c r="I31"/>
      <c r="J31"/>
      <c r="K31"/>
      <c r="L31"/>
      <c r="M31"/>
      <c r="N31"/>
      <c r="O31"/>
      <c r="P31" s="3"/>
      <c r="Q31"/>
      <c r="R31"/>
      <c r="S31"/>
      <c r="T31"/>
      <c r="U31"/>
      <c r="V31"/>
      <c r="W31"/>
      <c r="X31"/>
      <c r="Y31"/>
    </row>
    <row r="32" spans="1:25" x14ac:dyDescent="0.25">
      <c r="A32" t="s">
        <v>142</v>
      </c>
      <c r="B32" s="2">
        <v>45776.375</v>
      </c>
      <c r="C32" s="1">
        <f t="shared" si="0"/>
        <v>180</v>
      </c>
      <c r="D32" s="1">
        <v>15</v>
      </c>
      <c r="E32" s="1">
        <v>1019</v>
      </c>
      <c r="F32">
        <v>40.479999999999997</v>
      </c>
      <c r="G32">
        <v>0.45229999999999998</v>
      </c>
      <c r="H32">
        <v>9.82</v>
      </c>
      <c r="I32">
        <v>39.94</v>
      </c>
      <c r="J32">
        <v>12</v>
      </c>
      <c r="K32">
        <v>5</v>
      </c>
      <c r="L32">
        <v>16.100000000000001</v>
      </c>
      <c r="M32">
        <v>6.06</v>
      </c>
      <c r="N32">
        <v>48</v>
      </c>
      <c r="O32">
        <v>225</v>
      </c>
      <c r="P32" s="3">
        <v>62.641262935984962</v>
      </c>
      <c r="Q32"/>
      <c r="R32">
        <v>4.173433020833333E-2</v>
      </c>
      <c r="S32">
        <v>2.9514787112499999E-3</v>
      </c>
      <c r="T32">
        <v>1.07820997625E-2</v>
      </c>
      <c r="U32">
        <v>0.34371306779166666</v>
      </c>
      <c r="V32">
        <v>5.9664828812765105</v>
      </c>
      <c r="W32">
        <v>7.2552803624999995E-2</v>
      </c>
      <c r="X32">
        <v>9.3821355125000006E-2</v>
      </c>
      <c r="Y32">
        <v>12.150115869785081</v>
      </c>
    </row>
    <row r="33" spans="1:25" x14ac:dyDescent="0.25">
      <c r="A33" t="s">
        <v>143</v>
      </c>
      <c r="B33" s="2">
        <v>45776.625</v>
      </c>
      <c r="C33" s="1">
        <f t="shared" si="0"/>
        <v>186</v>
      </c>
      <c r="D33" s="1">
        <v>14</v>
      </c>
      <c r="E33" s="1">
        <v>1018</v>
      </c>
      <c r="F33">
        <v>46.47</v>
      </c>
      <c r="G33">
        <v>0.2581</v>
      </c>
      <c r="H33">
        <v>9.19</v>
      </c>
      <c r="I33">
        <v>37.5</v>
      </c>
      <c r="J33">
        <v>12</v>
      </c>
      <c r="K33">
        <v>9</v>
      </c>
      <c r="L33">
        <v>19.38</v>
      </c>
      <c r="M33">
        <v>6</v>
      </c>
      <c r="N33">
        <v>39</v>
      </c>
      <c r="O33">
        <v>229</v>
      </c>
      <c r="P33" s="3">
        <v>65.016958870096886</v>
      </c>
      <c r="Q33"/>
      <c r="R33"/>
      <c r="S33"/>
      <c r="T33"/>
      <c r="U33"/>
      <c r="V33"/>
      <c r="W33"/>
      <c r="X33"/>
      <c r="Y33"/>
    </row>
    <row r="34" spans="1:25" x14ac:dyDescent="0.25">
      <c r="A34"/>
      <c r="B34" s="2">
        <v>45776.875</v>
      </c>
      <c r="C34" s="1">
        <f t="shared" si="0"/>
        <v>192</v>
      </c>
      <c r="D34" s="1">
        <v>15.5</v>
      </c>
      <c r="E34" s="1">
        <v>1013</v>
      </c>
      <c r="F34"/>
      <c r="G34"/>
      <c r="H34"/>
      <c r="I34"/>
      <c r="J34"/>
      <c r="K34"/>
      <c r="L34"/>
      <c r="M34"/>
      <c r="N34"/>
      <c r="O34"/>
      <c r="P34" s="3"/>
      <c r="Q34"/>
      <c r="R34"/>
      <c r="S34"/>
      <c r="T34"/>
      <c r="U34"/>
      <c r="V34"/>
      <c r="W34"/>
      <c r="X34"/>
      <c r="Y34"/>
    </row>
    <row r="35" spans="1:25" x14ac:dyDescent="0.25">
      <c r="A35"/>
      <c r="B35" s="2">
        <v>45777.125</v>
      </c>
      <c r="C35" s="1">
        <f t="shared" si="0"/>
        <v>198</v>
      </c>
      <c r="D35" s="1">
        <v>15</v>
      </c>
      <c r="E35" s="1">
        <v>1015</v>
      </c>
      <c r="F35"/>
      <c r="G35"/>
      <c r="H35"/>
      <c r="I35"/>
      <c r="J35"/>
      <c r="K35"/>
      <c r="L35"/>
      <c r="M35"/>
      <c r="N35"/>
      <c r="O35"/>
      <c r="P35" s="3"/>
      <c r="Q35"/>
      <c r="R35"/>
      <c r="S35"/>
      <c r="T35"/>
      <c r="U35"/>
      <c r="V35"/>
      <c r="W35"/>
      <c r="X35"/>
      <c r="Y35"/>
    </row>
    <row r="36" spans="1:25" x14ac:dyDescent="0.25">
      <c r="A36" t="s">
        <v>144</v>
      </c>
      <c r="B36" s="2">
        <v>45777.375</v>
      </c>
      <c r="C36" s="1">
        <f t="shared" si="0"/>
        <v>204</v>
      </c>
      <c r="D36" s="1">
        <v>14</v>
      </c>
      <c r="E36" s="1">
        <v>1014</v>
      </c>
      <c r="F36">
        <v>53.69</v>
      </c>
      <c r="G36">
        <v>0.2545</v>
      </c>
      <c r="H36">
        <v>6.21</v>
      </c>
      <c r="I36">
        <v>33.299999999999997</v>
      </c>
      <c r="J36">
        <v>13</v>
      </c>
      <c r="K36">
        <v>0</v>
      </c>
      <c r="L36">
        <v>13</v>
      </c>
      <c r="M36">
        <v>6.16</v>
      </c>
      <c r="N36">
        <v>35</v>
      </c>
      <c r="O36">
        <v>230</v>
      </c>
      <c r="P36" s="3">
        <v>69.391869385981821</v>
      </c>
      <c r="Q36"/>
      <c r="R36">
        <v>3.9801133700000005E-2</v>
      </c>
      <c r="S36">
        <v>3.2042545733333332E-3</v>
      </c>
      <c r="T36">
        <v>8.7844119875000008E-3</v>
      </c>
      <c r="U36">
        <v>0.32507311408333339</v>
      </c>
      <c r="V36">
        <v>5.7316279559291585</v>
      </c>
      <c r="W36">
        <v>7.0472753291666676E-2</v>
      </c>
      <c r="X36">
        <v>7.3281259291666664E-2</v>
      </c>
      <c r="Y36">
        <v>11.39920621432336</v>
      </c>
    </row>
    <row r="37" spans="1:25" x14ac:dyDescent="0.25">
      <c r="A37" t="s">
        <v>145</v>
      </c>
      <c r="B37" s="2">
        <v>45777.625</v>
      </c>
      <c r="C37" s="1">
        <f t="shared" si="0"/>
        <v>210</v>
      </c>
      <c r="D37" s="1">
        <v>14</v>
      </c>
      <c r="E37" s="1">
        <v>1013</v>
      </c>
      <c r="F37">
        <v>48.62</v>
      </c>
      <c r="G37">
        <v>0.26169999999999999</v>
      </c>
      <c r="H37">
        <v>5.68</v>
      </c>
      <c r="I37">
        <v>32.06</v>
      </c>
      <c r="J37">
        <v>13</v>
      </c>
      <c r="K37">
        <v>3</v>
      </c>
      <c r="L37">
        <v>15.46</v>
      </c>
      <c r="M37">
        <v>6.16</v>
      </c>
      <c r="N37">
        <v>39</v>
      </c>
      <c r="O37">
        <v>236</v>
      </c>
      <c r="P37" s="3">
        <v>70.722598877992482</v>
      </c>
      <c r="Q37"/>
      <c r="R37"/>
      <c r="S37"/>
      <c r="T37"/>
      <c r="U37"/>
      <c r="V37"/>
      <c r="W37"/>
      <c r="X37"/>
      <c r="Y37"/>
    </row>
    <row r="38" spans="1:25" x14ac:dyDescent="0.25">
      <c r="A38"/>
      <c r="B38" s="2">
        <v>45777.875</v>
      </c>
      <c r="C38" s="1">
        <f t="shared" si="0"/>
        <v>216</v>
      </c>
      <c r="D38" s="1">
        <v>14</v>
      </c>
      <c r="E38" s="1">
        <v>1012</v>
      </c>
      <c r="F38"/>
      <c r="G38"/>
      <c r="H38"/>
      <c r="I38"/>
      <c r="J38"/>
      <c r="K38"/>
      <c r="L38"/>
      <c r="M38"/>
      <c r="N38"/>
      <c r="O38"/>
      <c r="P38" s="3"/>
      <c r="Q38"/>
      <c r="R38"/>
      <c r="S38"/>
      <c r="T38"/>
      <c r="U38"/>
      <c r="V38"/>
      <c r="W38"/>
      <c r="X38"/>
      <c r="Y38"/>
    </row>
    <row r="39" spans="1:25" x14ac:dyDescent="0.25">
      <c r="A39"/>
      <c r="B39" s="2">
        <v>45778.125</v>
      </c>
      <c r="C39" s="1">
        <f t="shared" si="0"/>
        <v>222</v>
      </c>
      <c r="D39" s="1">
        <v>14</v>
      </c>
      <c r="E39" s="1">
        <v>1011</v>
      </c>
      <c r="F39"/>
      <c r="G39"/>
      <c r="H39"/>
      <c r="I39"/>
      <c r="J39"/>
      <c r="K39"/>
      <c r="L39"/>
      <c r="M39"/>
      <c r="N39"/>
      <c r="O39"/>
      <c r="P39" s="3"/>
      <c r="Q39"/>
      <c r="R39"/>
      <c r="S39"/>
      <c r="T39"/>
      <c r="U39"/>
      <c r="V39"/>
      <c r="W39"/>
      <c r="X39"/>
      <c r="Y39"/>
    </row>
    <row r="40" spans="1:25" x14ac:dyDescent="0.25">
      <c r="A40"/>
      <c r="B40" s="2">
        <v>45778.375</v>
      </c>
      <c r="C40" s="1">
        <f t="shared" si="0"/>
        <v>228</v>
      </c>
      <c r="D40" s="1">
        <v>14</v>
      </c>
      <c r="E40" s="1">
        <v>1010</v>
      </c>
      <c r="F40"/>
      <c r="G40"/>
      <c r="H40"/>
      <c r="I40"/>
      <c r="J40"/>
      <c r="K40"/>
      <c r="L40"/>
      <c r="M40"/>
      <c r="N40"/>
      <c r="O40"/>
      <c r="P40" s="3"/>
      <c r="Q40"/>
      <c r="R40"/>
      <c r="S40"/>
      <c r="T40"/>
      <c r="U40"/>
      <c r="V40"/>
      <c r="W40"/>
      <c r="X40"/>
      <c r="Y40"/>
    </row>
    <row r="41" spans="1:25" x14ac:dyDescent="0.25">
      <c r="A41" t="s">
        <v>146</v>
      </c>
      <c r="B41" s="2">
        <v>45778.625</v>
      </c>
      <c r="C41" s="1">
        <f t="shared" si="0"/>
        <v>234</v>
      </c>
      <c r="D41" s="1">
        <v>15.5</v>
      </c>
      <c r="E41" s="1">
        <v>1007</v>
      </c>
      <c r="F41"/>
      <c r="G41">
        <v>0.33979999999999999</v>
      </c>
      <c r="H41">
        <v>2.6</v>
      </c>
      <c r="I41">
        <v>25.65</v>
      </c>
      <c r="J41">
        <v>14</v>
      </c>
      <c r="K41">
        <v>1</v>
      </c>
      <c r="L41">
        <v>14.82</v>
      </c>
      <c r="M41">
        <v>6.41</v>
      </c>
      <c r="N41">
        <v>37</v>
      </c>
      <c r="O41">
        <v>216</v>
      </c>
      <c r="P41" s="3">
        <v>74.996654368580437</v>
      </c>
      <c r="Q41"/>
      <c r="R41">
        <v>4.0331647608333333E-2</v>
      </c>
      <c r="S41">
        <v>3.3988114758333335E-3</v>
      </c>
      <c r="T41">
        <v>1.0205324787499999E-2</v>
      </c>
      <c r="U41">
        <v>0.33813633975000001</v>
      </c>
      <c r="V41">
        <v>7.3520731992419313</v>
      </c>
      <c r="W41">
        <v>5.8799123583333342E-2</v>
      </c>
      <c r="X41">
        <v>8.4596309958333324E-2</v>
      </c>
      <c r="Y41">
        <v>12.924789202520941</v>
      </c>
    </row>
    <row r="42" spans="1:25" x14ac:dyDescent="0.25">
      <c r="A42"/>
      <c r="B42" s="2">
        <v>45778.875</v>
      </c>
      <c r="C42" s="1">
        <f t="shared" si="0"/>
        <v>240</v>
      </c>
      <c r="D42" s="1">
        <v>15.5</v>
      </c>
      <c r="E42" s="1">
        <v>1008</v>
      </c>
      <c r="F42"/>
      <c r="G42"/>
      <c r="H42"/>
      <c r="I42"/>
      <c r="J42"/>
      <c r="K42"/>
      <c r="L42"/>
      <c r="M42"/>
      <c r="N42"/>
      <c r="O42"/>
      <c r="P42" s="3"/>
      <c r="Q42"/>
      <c r="R42"/>
      <c r="S42"/>
      <c r="T42"/>
      <c r="U42"/>
      <c r="V42"/>
      <c r="W42"/>
      <c r="X42"/>
      <c r="Y42"/>
    </row>
    <row r="43" spans="1:25" x14ac:dyDescent="0.25">
      <c r="A43"/>
      <c r="B43" s="2">
        <v>45779.125</v>
      </c>
      <c r="C43" s="1">
        <f t="shared" si="0"/>
        <v>246</v>
      </c>
      <c r="D43" s="1">
        <v>14</v>
      </c>
      <c r="E43" s="1">
        <v>1007</v>
      </c>
      <c r="F43"/>
      <c r="G43"/>
      <c r="H43"/>
      <c r="I43"/>
      <c r="J43"/>
      <c r="K43"/>
      <c r="L43"/>
      <c r="M43"/>
      <c r="N43"/>
      <c r="O43"/>
      <c r="P43" s="3"/>
      <c r="Q43"/>
      <c r="R43"/>
      <c r="S43"/>
      <c r="T43"/>
      <c r="U43"/>
      <c r="V43"/>
      <c r="W43"/>
      <c r="X43"/>
      <c r="Y43"/>
    </row>
    <row r="44" spans="1:25" x14ac:dyDescent="0.25">
      <c r="A44" t="s">
        <v>147</v>
      </c>
      <c r="B44" s="2">
        <v>45779.375</v>
      </c>
      <c r="C44" s="1">
        <f t="shared" si="0"/>
        <v>252</v>
      </c>
      <c r="D44" s="1">
        <v>13.5</v>
      </c>
      <c r="E44" s="1">
        <v>1006</v>
      </c>
      <c r="F44"/>
      <c r="G44">
        <v>0.31759999999999999</v>
      </c>
      <c r="H44">
        <v>6.04</v>
      </c>
      <c r="I44">
        <v>21.66</v>
      </c>
      <c r="J44">
        <v>20</v>
      </c>
      <c r="K44">
        <v>9</v>
      </c>
      <c r="L44">
        <v>27.38</v>
      </c>
      <c r="M44">
        <v>6.88</v>
      </c>
      <c r="N44">
        <v>18</v>
      </c>
      <c r="O44">
        <v>225</v>
      </c>
      <c r="P44" s="3">
        <v>77.142708134504275</v>
      </c>
      <c r="Q44"/>
      <c r="R44"/>
      <c r="S44"/>
      <c r="T44"/>
      <c r="U44"/>
      <c r="V44"/>
      <c r="W44"/>
      <c r="X44"/>
      <c r="Y44"/>
    </row>
    <row r="45" spans="1:25" x14ac:dyDescent="0.25">
      <c r="A45"/>
      <c r="B45" s="2">
        <v>45779.625</v>
      </c>
      <c r="C45" s="1">
        <f t="shared" si="0"/>
        <v>258</v>
      </c>
      <c r="D45" s="1">
        <v>14</v>
      </c>
      <c r="E45" s="1">
        <v>1005</v>
      </c>
      <c r="F45"/>
      <c r="G45"/>
      <c r="H45"/>
      <c r="I45"/>
      <c r="J45"/>
      <c r="K45"/>
      <c r="L45"/>
      <c r="M45"/>
      <c r="N45"/>
      <c r="O45"/>
      <c r="P45" s="3"/>
      <c r="Q45"/>
      <c r="R45"/>
      <c r="S45"/>
      <c r="T45"/>
      <c r="U45"/>
      <c r="V45"/>
      <c r="W45"/>
      <c r="X45"/>
      <c r="Y45"/>
    </row>
    <row r="46" spans="1:25" x14ac:dyDescent="0.25">
      <c r="A46"/>
      <c r="B46" s="2">
        <v>45779.875</v>
      </c>
      <c r="C46" s="1">
        <f t="shared" si="0"/>
        <v>264</v>
      </c>
      <c r="D46" s="1">
        <v>14</v>
      </c>
      <c r="E46" s="1">
        <v>1005</v>
      </c>
      <c r="F46"/>
      <c r="G46"/>
      <c r="H46"/>
      <c r="I46"/>
      <c r="J46"/>
      <c r="K46"/>
      <c r="L46"/>
      <c r="M46"/>
      <c r="N46"/>
      <c r="O46"/>
      <c r="P46" s="3"/>
      <c r="Q46"/>
      <c r="R46"/>
      <c r="S46"/>
      <c r="T46"/>
      <c r="U46"/>
      <c r="V46"/>
      <c r="W46"/>
      <c r="X46"/>
      <c r="Y46"/>
    </row>
    <row r="47" spans="1:25" x14ac:dyDescent="0.25">
      <c r="A47"/>
      <c r="B47" s="2">
        <v>45780.125</v>
      </c>
      <c r="C47" s="1">
        <f t="shared" si="0"/>
        <v>270</v>
      </c>
      <c r="D47" s="1">
        <v>14.3</v>
      </c>
      <c r="E47" s="1">
        <v>1005</v>
      </c>
      <c r="F47"/>
      <c r="G47"/>
      <c r="H47"/>
      <c r="I47"/>
      <c r="J47"/>
      <c r="K47"/>
      <c r="L47"/>
      <c r="M47"/>
      <c r="N47"/>
      <c r="O47"/>
      <c r="P47" s="3"/>
      <c r="Q47"/>
      <c r="R47"/>
      <c r="S47"/>
      <c r="T47"/>
      <c r="U47"/>
      <c r="V47"/>
      <c r="W47"/>
      <c r="X47"/>
      <c r="Y47"/>
    </row>
    <row r="48" spans="1:25" x14ac:dyDescent="0.25">
      <c r="A48" t="s">
        <v>148</v>
      </c>
      <c r="B48" s="2">
        <v>45780.375</v>
      </c>
      <c r="C48" s="1">
        <f t="shared" si="0"/>
        <v>276</v>
      </c>
      <c r="D48" s="1">
        <v>14.4</v>
      </c>
      <c r="E48" s="1">
        <v>1004</v>
      </c>
      <c r="F48"/>
      <c r="G48">
        <v>0.3281</v>
      </c>
      <c r="H48">
        <v>0.93</v>
      </c>
      <c r="I48">
        <v>16.64</v>
      </c>
      <c r="J48">
        <v>25</v>
      </c>
      <c r="K48">
        <v>8</v>
      </c>
      <c r="L48">
        <v>31.56</v>
      </c>
      <c r="M48">
        <v>5.75</v>
      </c>
      <c r="N48">
        <v>26</v>
      </c>
      <c r="O48">
        <v>182</v>
      </c>
      <c r="P48" s="3">
        <v>83.075614811675223</v>
      </c>
      <c r="Q48"/>
      <c r="R48">
        <v>2.9701924083333331E-2</v>
      </c>
      <c r="S48">
        <v>3.6740051970833337E-3</v>
      </c>
      <c r="T48">
        <v>9.1156635791666656E-3</v>
      </c>
      <c r="U48">
        <v>0.15962473516666664</v>
      </c>
      <c r="V48">
        <v>5.4484519720150928</v>
      </c>
      <c r="W48">
        <v>5.2079248958333331E-2</v>
      </c>
      <c r="X48">
        <v>3.3768211199999995E-2</v>
      </c>
      <c r="Y48">
        <v>7.6763223711001807</v>
      </c>
    </row>
    <row r="49" spans="1:25" x14ac:dyDescent="0.25">
      <c r="A49"/>
      <c r="B49" s="2">
        <v>45780.625</v>
      </c>
      <c r="C49" s="1">
        <f t="shared" si="0"/>
        <v>282</v>
      </c>
      <c r="D49" s="1">
        <v>14.5</v>
      </c>
      <c r="E49" s="1">
        <v>1004</v>
      </c>
      <c r="F49"/>
      <c r="G49"/>
      <c r="H49"/>
      <c r="I49"/>
      <c r="J49"/>
      <c r="K49"/>
      <c r="L49"/>
      <c r="M49"/>
      <c r="N49"/>
      <c r="O49"/>
      <c r="P49" s="3"/>
      <c r="Q49"/>
      <c r="R49"/>
      <c r="S49"/>
      <c r="T49"/>
      <c r="U49"/>
      <c r="V49"/>
      <c r="W49"/>
      <c r="X49"/>
      <c r="Y49"/>
    </row>
    <row r="50" spans="1:25" x14ac:dyDescent="0.25">
      <c r="A50"/>
      <c r="B50" s="2">
        <v>45780.875</v>
      </c>
      <c r="C50" s="1">
        <f t="shared" si="0"/>
        <v>288</v>
      </c>
      <c r="D50" s="1">
        <v>14.8</v>
      </c>
      <c r="E50" s="1">
        <v>1002</v>
      </c>
      <c r="F50"/>
      <c r="G50"/>
      <c r="H50"/>
      <c r="I50"/>
      <c r="J50"/>
      <c r="K50"/>
      <c r="L50"/>
      <c r="M50"/>
      <c r="N50"/>
      <c r="O50"/>
      <c r="P50" s="3"/>
      <c r="Q50"/>
      <c r="R50"/>
      <c r="S50"/>
      <c r="T50"/>
      <c r="U50"/>
      <c r="V50"/>
      <c r="W50"/>
      <c r="X50"/>
      <c r="Y50"/>
    </row>
    <row r="51" spans="1:25" x14ac:dyDescent="0.25">
      <c r="A51"/>
      <c r="B51" s="2">
        <v>45781.125</v>
      </c>
      <c r="C51" s="1">
        <f t="shared" si="0"/>
        <v>294</v>
      </c>
      <c r="D51" s="1">
        <v>14.5</v>
      </c>
      <c r="E51" s="1">
        <v>1002</v>
      </c>
      <c r="F51"/>
      <c r="G51"/>
      <c r="H51"/>
      <c r="I51"/>
      <c r="J51"/>
      <c r="K51"/>
      <c r="L51"/>
      <c r="M51"/>
      <c r="N51"/>
      <c r="O51"/>
      <c r="P51" s="3"/>
      <c r="Q51"/>
      <c r="R51"/>
      <c r="S51"/>
      <c r="T51"/>
      <c r="U51"/>
      <c r="V51"/>
      <c r="W51"/>
      <c r="X51"/>
      <c r="Y51"/>
    </row>
    <row r="52" spans="1:25" x14ac:dyDescent="0.25">
      <c r="A52" t="s">
        <v>149</v>
      </c>
      <c r="B52" s="2">
        <v>45781.375</v>
      </c>
      <c r="C52" s="1">
        <f t="shared" si="0"/>
        <v>300</v>
      </c>
      <c r="D52" s="1">
        <v>13.5</v>
      </c>
      <c r="E52" s="1">
        <v>1001</v>
      </c>
      <c r="F52"/>
      <c r="G52">
        <v>0.31309999999999999</v>
      </c>
      <c r="H52">
        <v>0.4</v>
      </c>
      <c r="I52">
        <v>10.55</v>
      </c>
      <c r="J52">
        <v>19</v>
      </c>
      <c r="K52">
        <v>0</v>
      </c>
      <c r="L52">
        <v>19</v>
      </c>
      <c r="M52">
        <v>7.09</v>
      </c>
      <c r="N52">
        <v>31</v>
      </c>
      <c r="O52">
        <v>201</v>
      </c>
      <c r="P52" s="3">
        <v>86.331200237688819</v>
      </c>
      <c r="Q52"/>
      <c r="R52"/>
      <c r="S52"/>
      <c r="T52"/>
      <c r="U52"/>
      <c r="V52"/>
      <c r="W52"/>
      <c r="X52"/>
      <c r="Y52"/>
    </row>
    <row r="53" spans="1:25" x14ac:dyDescent="0.25">
      <c r="A53"/>
      <c r="B53" s="2">
        <v>45781.625</v>
      </c>
      <c r="C53" s="1">
        <f t="shared" si="0"/>
        <v>306</v>
      </c>
      <c r="D53" s="1">
        <v>14</v>
      </c>
      <c r="E53" s="1">
        <v>1000</v>
      </c>
      <c r="F53"/>
      <c r="G53"/>
      <c r="H53"/>
      <c r="I53"/>
      <c r="J53"/>
      <c r="K53"/>
      <c r="L53"/>
      <c r="M53"/>
      <c r="N53"/>
      <c r="O53"/>
      <c r="P53" s="3"/>
      <c r="Q53"/>
      <c r="R53"/>
      <c r="S53"/>
      <c r="T53"/>
      <c r="U53"/>
      <c r="V53"/>
      <c r="W53"/>
      <c r="X53"/>
      <c r="Y53"/>
    </row>
    <row r="54" spans="1:25" x14ac:dyDescent="0.25">
      <c r="A54"/>
      <c r="B54" s="2">
        <v>45781.875</v>
      </c>
      <c r="C54" s="1">
        <f t="shared" si="0"/>
        <v>312</v>
      </c>
      <c r="D54" s="1">
        <v>13.8</v>
      </c>
      <c r="E54" s="1">
        <v>1000</v>
      </c>
      <c r="F54"/>
      <c r="G54"/>
      <c r="H54"/>
      <c r="I54"/>
      <c r="J54"/>
      <c r="K54"/>
      <c r="L54"/>
      <c r="M54"/>
      <c r="N54"/>
      <c r="O54"/>
      <c r="P54" s="3"/>
      <c r="Q54"/>
      <c r="R54"/>
      <c r="S54"/>
      <c r="T54"/>
      <c r="U54"/>
      <c r="V54"/>
      <c r="W54"/>
      <c r="X54"/>
      <c r="Y54"/>
    </row>
    <row r="55" spans="1:25" x14ac:dyDescent="0.25">
      <c r="A55"/>
      <c r="B55" s="2">
        <v>45782.125</v>
      </c>
      <c r="C55" s="1">
        <f t="shared" si="0"/>
        <v>318</v>
      </c>
      <c r="D55" s="1">
        <v>13.5</v>
      </c>
      <c r="E55" s="1">
        <v>1000</v>
      </c>
      <c r="F55"/>
      <c r="G55"/>
      <c r="H55"/>
      <c r="I55"/>
      <c r="J55"/>
      <c r="K55"/>
      <c r="L55"/>
      <c r="M55"/>
      <c r="N55"/>
      <c r="O55"/>
      <c r="P55" s="3"/>
      <c r="Q55"/>
      <c r="R55"/>
      <c r="S55"/>
      <c r="T55"/>
      <c r="U55"/>
      <c r="V55"/>
      <c r="W55"/>
      <c r="X55"/>
      <c r="Y55"/>
    </row>
    <row r="56" spans="1:25" x14ac:dyDescent="0.25">
      <c r="A56" t="s">
        <v>150</v>
      </c>
      <c r="B56" s="2">
        <v>45782.375</v>
      </c>
      <c r="C56" s="1">
        <f t="shared" si="0"/>
        <v>324</v>
      </c>
      <c r="D56" s="1">
        <v>14</v>
      </c>
      <c r="E56" s="1">
        <v>1000</v>
      </c>
      <c r="F56">
        <v>43.93</v>
      </c>
      <c r="G56">
        <v>0.24060000000000001</v>
      </c>
      <c r="H56">
        <v>0.3</v>
      </c>
      <c r="I56">
        <v>9.14</v>
      </c>
      <c r="J56">
        <v>14</v>
      </c>
      <c r="K56">
        <v>8</v>
      </c>
      <c r="L56">
        <v>20.56</v>
      </c>
      <c r="M56">
        <v>6.8</v>
      </c>
      <c r="N56">
        <v>23</v>
      </c>
      <c r="O56">
        <v>210</v>
      </c>
      <c r="P56" s="3">
        <v>87.28334830694547</v>
      </c>
      <c r="Q56"/>
      <c r="R56"/>
      <c r="S56"/>
      <c r="T56"/>
      <c r="U56"/>
      <c r="V56"/>
      <c r="W56"/>
      <c r="X56"/>
      <c r="Y56"/>
    </row>
    <row r="57" spans="1:25" x14ac:dyDescent="0.25">
      <c r="A57" t="s">
        <v>151</v>
      </c>
      <c r="B57" s="2">
        <v>45782.625</v>
      </c>
      <c r="C57" s="1">
        <f t="shared" si="0"/>
        <v>330</v>
      </c>
      <c r="D57" s="1">
        <v>14.2</v>
      </c>
      <c r="E57" s="1">
        <v>999</v>
      </c>
      <c r="F57">
        <v>40.549999999999997</v>
      </c>
      <c r="G57">
        <v>0.24490000000000001</v>
      </c>
      <c r="H57">
        <v>0</v>
      </c>
      <c r="I57">
        <v>8.77</v>
      </c>
      <c r="J57">
        <v>23</v>
      </c>
      <c r="K57">
        <v>0</v>
      </c>
      <c r="L57">
        <v>23</v>
      </c>
      <c r="M57">
        <v>6.66</v>
      </c>
      <c r="N57">
        <v>28</v>
      </c>
      <c r="O57">
        <v>210</v>
      </c>
      <c r="P57" s="3">
        <v>88.37296106786799</v>
      </c>
      <c r="Q57"/>
      <c r="R57"/>
      <c r="S57"/>
      <c r="T57"/>
      <c r="U57"/>
      <c r="V57"/>
      <c r="W57"/>
      <c r="X57"/>
      <c r="Y57"/>
    </row>
    <row r="58" spans="1:25" x14ac:dyDescent="0.25">
      <c r="A58"/>
      <c r="B58" s="2">
        <v>45782.875</v>
      </c>
      <c r="C58" s="1">
        <f t="shared" si="0"/>
        <v>336</v>
      </c>
      <c r="D58" s="1">
        <v>13.5</v>
      </c>
      <c r="E58" s="1">
        <v>999</v>
      </c>
      <c r="F58"/>
      <c r="G58"/>
      <c r="H58"/>
      <c r="I58"/>
      <c r="J58"/>
      <c r="K58"/>
      <c r="L58"/>
      <c r="M58"/>
      <c r="N58"/>
      <c r="O58"/>
      <c r="P58" s="3"/>
      <c r="Q58"/>
      <c r="R58"/>
      <c r="S58"/>
      <c r="T58"/>
      <c r="U58"/>
      <c r="V58"/>
      <c r="W58"/>
      <c r="X58"/>
      <c r="Y58"/>
    </row>
    <row r="59" spans="1:25" x14ac:dyDescent="0.25">
      <c r="A59"/>
      <c r="B59" s="2">
        <v>45783.125</v>
      </c>
      <c r="C59" s="1">
        <f t="shared" si="0"/>
        <v>342</v>
      </c>
      <c r="D59" s="1">
        <v>13.2</v>
      </c>
      <c r="E59" s="1">
        <v>999</v>
      </c>
      <c r="F59"/>
      <c r="G59"/>
      <c r="H59"/>
      <c r="I59"/>
      <c r="J59"/>
      <c r="K59"/>
      <c r="L59"/>
      <c r="M59"/>
      <c r="N59"/>
      <c r="O59"/>
      <c r="P59" s="3"/>
      <c r="Q59"/>
      <c r="R59"/>
      <c r="S59"/>
      <c r="T59"/>
      <c r="U59"/>
      <c r="V59"/>
      <c r="W59"/>
      <c r="X59"/>
      <c r="Y59"/>
    </row>
    <row r="60" spans="1:25" x14ac:dyDescent="0.25">
      <c r="A60" t="s">
        <v>152</v>
      </c>
      <c r="B60" s="2">
        <v>45783.375</v>
      </c>
      <c r="C60" s="1">
        <f t="shared" si="0"/>
        <v>348</v>
      </c>
      <c r="D60" s="1">
        <v>14</v>
      </c>
      <c r="E60" s="1">
        <v>999</v>
      </c>
      <c r="F60">
        <v>41.63</v>
      </c>
      <c r="G60">
        <v>0.23769999999999999</v>
      </c>
      <c r="H60">
        <v>0</v>
      </c>
      <c r="I60">
        <v>6.83</v>
      </c>
      <c r="J60"/>
      <c r="K60"/>
      <c r="L60"/>
      <c r="M60">
        <v>6.88</v>
      </c>
      <c r="N60">
        <v>41</v>
      </c>
      <c r="O60">
        <v>209</v>
      </c>
      <c r="P60" s="3">
        <v>89.600619441644412</v>
      </c>
      <c r="Q60"/>
      <c r="R60"/>
      <c r="S60"/>
      <c r="T60"/>
      <c r="U60"/>
      <c r="V60"/>
      <c r="W60"/>
      <c r="X60"/>
      <c r="Y60"/>
    </row>
    <row r="61" spans="1:25" x14ac:dyDescent="0.25">
      <c r="A61" t="s">
        <v>153</v>
      </c>
      <c r="B61" s="2">
        <v>45783.625</v>
      </c>
      <c r="C61" s="1">
        <f t="shared" si="0"/>
        <v>354</v>
      </c>
      <c r="D61" s="1">
        <v>14.6</v>
      </c>
      <c r="E61" s="1">
        <v>998</v>
      </c>
      <c r="F61">
        <v>49.69</v>
      </c>
      <c r="G61">
        <v>0.22570000000000001</v>
      </c>
      <c r="H61">
        <v>0</v>
      </c>
      <c r="I61">
        <v>6.31</v>
      </c>
      <c r="J61"/>
      <c r="K61"/>
      <c r="L61"/>
      <c r="M61">
        <v>6.83</v>
      </c>
      <c r="N61">
        <v>49</v>
      </c>
      <c r="O61">
        <v>212</v>
      </c>
      <c r="P61" s="3">
        <v>91.377358937958789</v>
      </c>
      <c r="Q61"/>
      <c r="R61"/>
      <c r="S61"/>
      <c r="T61"/>
      <c r="U61"/>
      <c r="V61"/>
      <c r="W61"/>
      <c r="X61"/>
      <c r="Y61"/>
    </row>
    <row r="62" spans="1:25" x14ac:dyDescent="0.25">
      <c r="A62"/>
      <c r="B62" s="2">
        <v>45783.875</v>
      </c>
      <c r="C62" s="1">
        <f t="shared" si="0"/>
        <v>360</v>
      </c>
      <c r="D62" s="1">
        <v>14.4</v>
      </c>
      <c r="E62" s="1">
        <v>998</v>
      </c>
      <c r="F62"/>
      <c r="G62"/>
      <c r="H62"/>
      <c r="I62"/>
      <c r="J62"/>
      <c r="K62"/>
      <c r="L62"/>
      <c r="M62"/>
      <c r="N62"/>
      <c r="O62"/>
      <c r="P62" s="3"/>
      <c r="Q62"/>
      <c r="R62"/>
      <c r="S62"/>
      <c r="T62"/>
      <c r="U62"/>
      <c r="V62"/>
      <c r="W62"/>
      <c r="X62"/>
      <c r="Y62"/>
    </row>
    <row r="63" spans="1:25" x14ac:dyDescent="0.25">
      <c r="A63"/>
      <c r="B63" s="2">
        <v>45784.125</v>
      </c>
      <c r="C63" s="1">
        <f t="shared" si="0"/>
        <v>366</v>
      </c>
      <c r="D63" s="1">
        <v>14.3</v>
      </c>
      <c r="E63" s="1">
        <v>998</v>
      </c>
      <c r="F63"/>
      <c r="G63"/>
      <c r="H63"/>
      <c r="I63"/>
      <c r="J63"/>
      <c r="K63"/>
      <c r="L63"/>
      <c r="M63"/>
      <c r="N63"/>
      <c r="O63"/>
      <c r="P63" s="3"/>
      <c r="Q63"/>
      <c r="R63"/>
      <c r="S63"/>
      <c r="T63"/>
      <c r="U63"/>
      <c r="V63"/>
      <c r="W63"/>
      <c r="X63"/>
      <c r="Y63"/>
    </row>
    <row r="64" spans="1:25" x14ac:dyDescent="0.25">
      <c r="A64" t="s">
        <v>154</v>
      </c>
      <c r="B64" s="2">
        <v>45784.375</v>
      </c>
      <c r="C64" s="1">
        <f t="shared" si="0"/>
        <v>372</v>
      </c>
      <c r="D64" s="1">
        <v>14</v>
      </c>
      <c r="E64" s="1">
        <v>997</v>
      </c>
      <c r="F64">
        <v>36.71</v>
      </c>
      <c r="G64">
        <v>0.23200000000000001</v>
      </c>
      <c r="H64">
        <v>0.31</v>
      </c>
      <c r="I64">
        <v>4.0200000000000005</v>
      </c>
      <c r="J64">
        <v>17</v>
      </c>
      <c r="K64">
        <v>3</v>
      </c>
      <c r="L64">
        <v>19.46</v>
      </c>
      <c r="M64">
        <v>6.79</v>
      </c>
      <c r="N64">
        <v>23</v>
      </c>
      <c r="O64">
        <v>217</v>
      </c>
      <c r="P64" s="3">
        <v>93.891000000000005</v>
      </c>
      <c r="Q64"/>
      <c r="R64">
        <v>3.9700851308333333E-2</v>
      </c>
      <c r="S64">
        <v>4.4867313624999995E-3</v>
      </c>
      <c r="T64">
        <v>3.9034999999999999E-3</v>
      </c>
      <c r="U64">
        <v>0.20058546625000001</v>
      </c>
      <c r="V64">
        <v>8.9813382024739763</v>
      </c>
      <c r="W64">
        <v>4.9305497291666667E-2</v>
      </c>
      <c r="X64">
        <v>2.5876494862499998E-2</v>
      </c>
      <c r="Y64">
        <v>12.849770328649674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25026</vt:lpstr>
      <vt:lpstr>25027</vt:lpstr>
      <vt:lpstr>25085</vt:lpstr>
      <vt:lpstr>25086</vt:lpstr>
      <vt:lpstr>25150</vt:lpstr>
      <vt:lpstr>25151</vt:lpstr>
      <vt:lpstr>25170</vt:lpstr>
      <vt:lpstr>25171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Luis Torrealba Vasquez</dc:creator>
  <cp:lastModifiedBy>Cristobal Luis Torrealba Vasquez</cp:lastModifiedBy>
  <dcterms:created xsi:type="dcterms:W3CDTF">2026-05-29T14:13:33Z</dcterms:created>
  <dcterms:modified xsi:type="dcterms:W3CDTF">2026-05-29T14:13:33Z</dcterms:modified>
</cp:coreProperties>
</file>