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results/lot1_data_preview/manual_entry_templates/"/>
    </mc:Choice>
  </mc:AlternateContent>
  <xr:revisionPtr revIDLastSave="76" documentId="11_49D3CB77952351FE9E9DDAC4B98D607834062097" xr6:coauthVersionLast="47" xr6:coauthVersionMax="47" xr10:uidLastSave="{BD3C46A2-839A-4F80-987B-4712B6269A39}"/>
  <bookViews>
    <workbookView xWindow="-120" yWindow="-120" windowWidth="29040" windowHeight="15720" activeTab="4" xr2:uid="{00000000-000D-0000-FFFF-FFFF00000000}"/>
  </bookViews>
  <sheets>
    <sheet name="README" sheetId="1" r:id="rId1"/>
    <sheet name="All_samples" sheetId="2" r:id="rId2"/>
    <sheet name="F1" sheetId="3" r:id="rId3"/>
    <sheet name="F2" sheetId="4" r:id="rId4"/>
    <sheet name="F3" sheetId="5" r:id="rId5"/>
  </sheets>
  <definedNames>
    <definedName name="_xlnm._FilterDatabase" localSheetId="1" hidden="1">All_samples!$A$1:$W$61</definedName>
    <definedName name="_xlnm._FilterDatabase" localSheetId="2" hidden="1">'F1'!$A$1:$W$20</definedName>
    <definedName name="_xlnm._FilterDatabase" localSheetId="3" hidden="1">'F2'!$A$1:$W$23</definedName>
    <definedName name="_xlnm._FilterDatabase" localSheetId="4" hidden="1">'F3'!$A$1:$W$20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5" l="1"/>
  <c r="R20" i="5" s="1"/>
  <c r="R19" i="5"/>
  <c r="P19" i="5"/>
  <c r="R18" i="5"/>
  <c r="P18" i="5"/>
  <c r="P17" i="5"/>
  <c r="R17" i="5" s="1"/>
  <c r="P16" i="5"/>
  <c r="R16" i="5" s="1"/>
  <c r="P15" i="5"/>
  <c r="R15" i="5" s="1"/>
  <c r="P14" i="5"/>
  <c r="R14" i="5" s="1"/>
  <c r="P13" i="5"/>
  <c r="R13" i="5" s="1"/>
  <c r="P12" i="5"/>
  <c r="R12" i="5" s="1"/>
  <c r="R11" i="5"/>
  <c r="P11" i="5"/>
  <c r="P10" i="5"/>
  <c r="R10" i="5" s="1"/>
  <c r="R9" i="5"/>
  <c r="P9" i="5"/>
  <c r="R8" i="5"/>
  <c r="P8" i="5"/>
  <c r="P7" i="5"/>
  <c r="R7" i="5" s="1"/>
  <c r="P6" i="5"/>
  <c r="R6" i="5" s="1"/>
  <c r="R5" i="5"/>
  <c r="P5" i="5"/>
  <c r="R4" i="5"/>
  <c r="P4" i="5"/>
  <c r="P3" i="5"/>
  <c r="R3" i="5" s="1"/>
  <c r="R2" i="5"/>
  <c r="P2" i="5"/>
  <c r="P23" i="4"/>
  <c r="R23" i="4" s="1"/>
  <c r="P22" i="4"/>
  <c r="R22" i="4" s="1"/>
  <c r="P21" i="4"/>
  <c r="R21" i="4" s="1"/>
  <c r="R20" i="4"/>
  <c r="P20" i="4"/>
  <c r="R19" i="4"/>
  <c r="P19" i="4"/>
  <c r="R18" i="4"/>
  <c r="P18" i="4"/>
  <c r="P17" i="4"/>
  <c r="R17" i="4" s="1"/>
  <c r="P16" i="4"/>
  <c r="R16" i="4" s="1"/>
  <c r="P15" i="4"/>
  <c r="R15" i="4" s="1"/>
  <c r="R14" i="4"/>
  <c r="P14" i="4"/>
  <c r="P13" i="4"/>
  <c r="R13" i="4" s="1"/>
  <c r="P12" i="4"/>
  <c r="R12" i="4" s="1"/>
  <c r="R11" i="4"/>
  <c r="P11" i="4"/>
  <c r="P10" i="4"/>
  <c r="R10" i="4" s="1"/>
  <c r="R9" i="4"/>
  <c r="P9" i="4"/>
  <c r="P8" i="4"/>
  <c r="R8" i="4" s="1"/>
  <c r="P7" i="4"/>
  <c r="R7" i="4" s="1"/>
  <c r="P6" i="4"/>
  <c r="R6" i="4" s="1"/>
  <c r="R5" i="4"/>
  <c r="P5" i="4"/>
  <c r="R4" i="4"/>
  <c r="P4" i="4"/>
  <c r="P3" i="4"/>
  <c r="R3" i="4" s="1"/>
  <c r="R2" i="4"/>
  <c r="P2" i="4"/>
  <c r="P20" i="3"/>
  <c r="R20" i="3" s="1"/>
  <c r="R19" i="3"/>
  <c r="P19" i="3"/>
  <c r="R18" i="3"/>
  <c r="P18" i="3"/>
  <c r="P17" i="3"/>
  <c r="R17" i="3" s="1"/>
  <c r="P16" i="3"/>
  <c r="R16" i="3" s="1"/>
  <c r="P15" i="3"/>
  <c r="R15" i="3" s="1"/>
  <c r="R14" i="3"/>
  <c r="P14" i="3"/>
  <c r="P13" i="3"/>
  <c r="R13" i="3" s="1"/>
  <c r="P12" i="3"/>
  <c r="R12" i="3" s="1"/>
  <c r="R11" i="3"/>
  <c r="P11" i="3"/>
  <c r="P10" i="3"/>
  <c r="R10" i="3" s="1"/>
  <c r="R9" i="3"/>
  <c r="P9" i="3"/>
  <c r="P8" i="3"/>
  <c r="R8" i="3" s="1"/>
  <c r="R7" i="3"/>
  <c r="P7" i="3"/>
  <c r="R6" i="3"/>
  <c r="P6" i="3"/>
  <c r="R5" i="3"/>
  <c r="P5" i="3"/>
  <c r="R4" i="3"/>
  <c r="P4" i="3"/>
  <c r="P3" i="3"/>
  <c r="R3" i="3" s="1"/>
  <c r="P2" i="3"/>
  <c r="R2" i="3" s="1"/>
  <c r="R61" i="2"/>
  <c r="P61" i="2"/>
  <c r="R60" i="2"/>
  <c r="P60" i="2"/>
  <c r="R59" i="2"/>
  <c r="P59" i="2"/>
  <c r="R58" i="2"/>
  <c r="P58" i="2"/>
  <c r="R57" i="2"/>
  <c r="P57" i="2"/>
  <c r="R56" i="2"/>
  <c r="P56" i="2"/>
  <c r="R55" i="2"/>
  <c r="P55" i="2"/>
  <c r="R54" i="2"/>
  <c r="P54" i="2"/>
  <c r="R53" i="2"/>
  <c r="P53" i="2"/>
  <c r="R52" i="2"/>
  <c r="P52" i="2"/>
  <c r="R51" i="2"/>
  <c r="P51" i="2"/>
  <c r="R50" i="2"/>
  <c r="P50" i="2"/>
  <c r="R49" i="2"/>
  <c r="P49" i="2"/>
  <c r="R48" i="2"/>
  <c r="P48" i="2"/>
  <c r="R47" i="2"/>
  <c r="P47" i="2"/>
  <c r="R46" i="2"/>
  <c r="P46" i="2"/>
  <c r="R45" i="2"/>
  <c r="P45" i="2"/>
  <c r="R44" i="2"/>
  <c r="P44" i="2"/>
  <c r="R43" i="2"/>
  <c r="P43" i="2"/>
  <c r="R42" i="2"/>
  <c r="P42" i="2"/>
  <c r="R41" i="2"/>
  <c r="P41" i="2"/>
  <c r="R40" i="2"/>
  <c r="P40" i="2"/>
  <c r="R39" i="2"/>
  <c r="P39" i="2"/>
  <c r="R38" i="2"/>
  <c r="P38" i="2"/>
  <c r="R37" i="2"/>
  <c r="P37" i="2"/>
  <c r="R36" i="2"/>
  <c r="P36" i="2"/>
  <c r="R35" i="2"/>
  <c r="P35" i="2"/>
  <c r="R34" i="2"/>
  <c r="P34" i="2"/>
  <c r="R33" i="2"/>
  <c r="P33" i="2"/>
  <c r="R32" i="2"/>
  <c r="P32" i="2"/>
  <c r="R31" i="2"/>
  <c r="P31" i="2"/>
  <c r="R30" i="2"/>
  <c r="P30" i="2"/>
  <c r="R29" i="2"/>
  <c r="P29" i="2"/>
  <c r="R28" i="2"/>
  <c r="P28" i="2"/>
  <c r="R27" i="2"/>
  <c r="P27" i="2"/>
  <c r="R26" i="2"/>
  <c r="P26" i="2"/>
  <c r="R25" i="2"/>
  <c r="P25" i="2"/>
  <c r="R24" i="2"/>
  <c r="P24" i="2"/>
  <c r="R23" i="2"/>
  <c r="P23" i="2"/>
  <c r="R22" i="2"/>
  <c r="P22" i="2"/>
  <c r="R21" i="2"/>
  <c r="P21" i="2"/>
  <c r="R20" i="2"/>
  <c r="P20" i="2"/>
  <c r="R19" i="2"/>
  <c r="P19" i="2"/>
  <c r="R18" i="2"/>
  <c r="P18" i="2"/>
  <c r="R17" i="2"/>
  <c r="P17" i="2"/>
  <c r="R16" i="2"/>
  <c r="P16" i="2"/>
  <c r="R15" i="2"/>
  <c r="P15" i="2"/>
  <c r="R14" i="2"/>
  <c r="P14" i="2"/>
  <c r="R13" i="2"/>
  <c r="P13" i="2"/>
  <c r="R12" i="2"/>
  <c r="P12" i="2"/>
  <c r="R11" i="2"/>
  <c r="P11" i="2"/>
  <c r="R10" i="2"/>
  <c r="P10" i="2"/>
  <c r="R9" i="2"/>
  <c r="P9" i="2"/>
  <c r="R8" i="2"/>
  <c r="P8" i="2"/>
  <c r="R7" i="2"/>
  <c r="P7" i="2"/>
  <c r="R6" i="2"/>
  <c r="P6" i="2"/>
  <c r="R5" i="2"/>
  <c r="P5" i="2"/>
  <c r="R4" i="2"/>
  <c r="P4" i="2"/>
  <c r="R3" i="2"/>
  <c r="P3" i="2"/>
  <c r="R2" i="2"/>
  <c r="P2" i="2"/>
</calcChain>
</file>

<file path=xl/sharedStrings.xml><?xml version="1.0" encoding="utf-8"?>
<sst xmlns="http://schemas.openxmlformats.org/spreadsheetml/2006/main" count="838" uniqueCount="123">
  <si>
    <t>DOE Lote 1 ethanol manual entry</t>
  </si>
  <si>
    <t>Fill ethanol_percent_vv_rep1 and optionally ethanol_percent_vv_rep2 if the instrument reports % v/v.</t>
  </si>
  <si>
    <t>ethanol_percent_vv_final is calculated as the average of available % v/v replicates.</t>
  </si>
  <si>
    <t>ethanol_g_l_for_model uses ethanol_g_l_manual if entered; otherwise it uses % v/v * 7.89.</t>
  </si>
  <si>
    <t>Do not overwrite formula columns unless you intentionally want a manual override.</t>
  </si>
  <si>
    <t>Recommended qc_flag values: OK, not_measured, below_LOQ, above_range, suspect, rerun, discard.</t>
  </si>
  <si>
    <t>Time zero is the first Oculyze process timestamp for each fermentation.</t>
  </si>
  <si>
    <t>lot_id</t>
  </si>
  <si>
    <t>process</t>
  </si>
  <si>
    <t>design_name</t>
  </si>
  <si>
    <t>sample_id</t>
  </si>
  <si>
    <t>sample_datetime</t>
  </si>
  <si>
    <t>t_h</t>
  </si>
  <si>
    <t>time_source</t>
  </si>
  <si>
    <t>Density</t>
  </si>
  <si>
    <t>sugar_total_g_l</t>
  </si>
  <si>
    <t>glucose_g_l</t>
  </si>
  <si>
    <t>fructose_g_l</t>
  </si>
  <si>
    <t>yan_calc_mg_l_censored</t>
  </si>
  <si>
    <t>x_viable_g_l</t>
  </si>
  <si>
    <t>ethanol_percent_vv_rep1</t>
  </si>
  <si>
    <t>ethanol_percent_vv_rep2</t>
  </si>
  <si>
    <t>ethanol_percent_vv_final</t>
  </si>
  <si>
    <t>ethanol_g_l_manual</t>
  </si>
  <si>
    <t>ethanol_g_l_for_model</t>
  </si>
  <si>
    <t>ethanol_measurement_datetime</t>
  </si>
  <si>
    <t>ethanol_method</t>
  </si>
  <si>
    <t>operator</t>
  </si>
  <si>
    <t>qc_flag</t>
  </si>
  <si>
    <t>notes</t>
  </si>
  <si>
    <t>DOE_Lote_1</t>
  </si>
  <si>
    <t>F1</t>
  </si>
  <si>
    <t>synthetic_lit_SM410_18C_highN_ester</t>
  </si>
  <si>
    <t>DOE-LAB001-1</t>
  </si>
  <si>
    <t>2026-06-15 15:30</t>
  </si>
  <si>
    <t>oculyze_sample_id</t>
  </si>
  <si>
    <t>DOE-LAB001-2</t>
  </si>
  <si>
    <t>2026-06-16 08:30</t>
  </si>
  <si>
    <t>DOE-LAB001-3</t>
  </si>
  <si>
    <t>2026-06-16 12:00</t>
  </si>
  <si>
    <t>DOE-LAB001-4</t>
  </si>
  <si>
    <t>2026-06-16 14:30</t>
  </si>
  <si>
    <t>DOE-LAB001-5</t>
  </si>
  <si>
    <t>2026-06-16 16:30</t>
  </si>
  <si>
    <t>DOE-LAB001-6</t>
  </si>
  <si>
    <t>2026-06-17 10:00</t>
  </si>
  <si>
    <t>DOE-LAB001-7</t>
  </si>
  <si>
    <t>2026-06-17 12:30</t>
  </si>
  <si>
    <t>DOE-LAB001-8</t>
  </si>
  <si>
    <t>2026-06-17 16:00</t>
  </si>
  <si>
    <t>DOE-LAB001-9</t>
  </si>
  <si>
    <t>2026-06-18 10:00</t>
  </si>
  <si>
    <t>DOE-LAB001-10</t>
  </si>
  <si>
    <t>2026-06-18 12:30</t>
  </si>
  <si>
    <t>DOE-LAB001-11</t>
  </si>
  <si>
    <t>2026-06-18 16:00</t>
  </si>
  <si>
    <t>DOE-LAB001-12</t>
  </si>
  <si>
    <t>2026-06-19 10:00</t>
  </si>
  <si>
    <t>DOE-LAB001-13</t>
  </si>
  <si>
    <t>2026-06-19 12:00</t>
  </si>
  <si>
    <t>DOE-LAB001-14</t>
  </si>
  <si>
    <t>2026-06-19 16:00</t>
  </si>
  <si>
    <t>DOE-LAB001-15</t>
  </si>
  <si>
    <t>2026-06-22 10:00</t>
  </si>
  <si>
    <t>DOE-LAB001-16</t>
  </si>
  <si>
    <t>2026-06-22 16:00</t>
  </si>
  <si>
    <t>DOE-LAB001-17</t>
  </si>
  <si>
    <t>2026-06-23 10:00</t>
  </si>
  <si>
    <t>DOE-LAB001-18</t>
  </si>
  <si>
    <t>2026-06-23 16:00</t>
  </si>
  <si>
    <t>DOE-LAB001-19</t>
  </si>
  <si>
    <t>2026-06-24 11:00</t>
  </si>
  <si>
    <t>F2</t>
  </si>
  <si>
    <t>synthetic_high_biomass_low_N_maintenance</t>
  </si>
  <si>
    <t>DOE-LAB002-1</t>
  </si>
  <si>
    <t>DOE-LAB002-2</t>
  </si>
  <si>
    <t>DOE-LAB002-3</t>
  </si>
  <si>
    <t>DOE-LAB002-4</t>
  </si>
  <si>
    <t>DOE-LAB002-5</t>
  </si>
  <si>
    <t>DOE-LAB002-6</t>
  </si>
  <si>
    <t>DOE-LAB002-7</t>
  </si>
  <si>
    <t>DOE-LAB002-8</t>
  </si>
  <si>
    <t>DOE-LAB002-9</t>
  </si>
  <si>
    <t>DOE-LAB002-10</t>
  </si>
  <si>
    <t>DOE-LAB002-11</t>
  </si>
  <si>
    <t>DOE-LAB002-12</t>
  </si>
  <si>
    <t>DOE-LAB002-13</t>
  </si>
  <si>
    <t>DOE-LAB002-14</t>
  </si>
  <si>
    <t>DOE-LAB002-15</t>
  </si>
  <si>
    <t>DOE-LAB002-16</t>
  </si>
  <si>
    <t>DOE-LAB002-17</t>
  </si>
  <si>
    <t>DOE-LAB002-18</t>
  </si>
  <si>
    <t>DOE-LAB002-19</t>
  </si>
  <si>
    <t>DOE-LAB002-20</t>
  </si>
  <si>
    <t>2026-06-25 16:00</t>
  </si>
  <si>
    <t>DOE-LAB002-21</t>
  </si>
  <si>
    <t>2026-06-26 12:00</t>
  </si>
  <si>
    <t>DOE-LAB002-22</t>
  </si>
  <si>
    <t>2026-07-01 15:18</t>
  </si>
  <si>
    <t>y15_session_filename</t>
  </si>
  <si>
    <t>F3</t>
  </si>
  <si>
    <t>synthetic_fructose_rich_glucose</t>
  </si>
  <si>
    <t>DOE-LAB003-1</t>
  </si>
  <si>
    <t>DOE-LAB003-2</t>
  </si>
  <si>
    <t>DOE-LAB003-3</t>
  </si>
  <si>
    <t>DOE-LAB003-4</t>
  </si>
  <si>
    <t>DOE-LAB003-5</t>
  </si>
  <si>
    <t>inferred_lot_sample_sequence</t>
  </si>
  <si>
    <t>DOE-LAB003-6</t>
  </si>
  <si>
    <t>DOE-LAB003-7</t>
  </si>
  <si>
    <t>DOE-LAB003-8</t>
  </si>
  <si>
    <t>DOE-LAB003-9</t>
  </si>
  <si>
    <t>DOE-LAB003-10</t>
  </si>
  <si>
    <t>DOE-LAB003-11</t>
  </si>
  <si>
    <t>DOE-LAB003-12</t>
  </si>
  <si>
    <t>DOE-LAB003-13</t>
  </si>
  <si>
    <t>DOE-LAB003-14</t>
  </si>
  <si>
    <t>DOE-LAB003-15</t>
  </si>
  <si>
    <t>DOE-LAB003-16</t>
  </si>
  <si>
    <t>DOE-LAB003-17</t>
  </si>
  <si>
    <t>DOE-LAB003-18</t>
  </si>
  <si>
    <t>DOE-LAB003-19</t>
  </si>
  <si>
    <t>Alcolyzer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</si>
</sst>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1"/>
  <sheetViews>
    <sheetView topLeftCell="C1" workbookViewId="0">
      <pane ySplit="1" topLeftCell="A62" activePane="bottomLeft" state="frozen"/>
      <selection pane="bottomLeft" activeCell="L17" sqref="L17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42" customWidth="1"/>
    <col min="4" max="5" width="18" customWidth="1"/>
    <col min="6" max="6" width="10" customWidth="1"/>
    <col min="7" max="7" width="26" customWidth="1"/>
    <col min="8" max="8" width="12" customWidth="1"/>
    <col min="9" max="9" width="14" customWidth="1"/>
    <col min="10" max="11" width="12" customWidth="1"/>
    <col min="12" max="12" width="14" customWidth="1"/>
    <col min="13" max="13" width="12" customWidth="1"/>
    <col min="14" max="16" width="18" customWidth="1"/>
    <col min="17" max="17" width="16" customWidth="1"/>
    <col min="18" max="18" width="18" customWidth="1"/>
    <col min="19" max="19" width="24" customWidth="1"/>
    <col min="20" max="20" width="18" customWidth="1"/>
    <col min="21" max="21" width="16" customWidth="1"/>
    <col min="22" max="22" width="14" customWidth="1"/>
    <col min="23" max="23" width="30" customWidth="1"/>
  </cols>
  <sheetData>
    <row r="1" spans="1:23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3" t="s">
        <v>20</v>
      </c>
      <c r="O1" s="3" t="s">
        <v>21</v>
      </c>
      <c r="P1" s="4" t="s">
        <v>22</v>
      </c>
      <c r="Q1" s="3" t="s">
        <v>23</v>
      </c>
      <c r="R1" s="4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5">
        <v>0</v>
      </c>
      <c r="G2" t="s">
        <v>35</v>
      </c>
      <c r="H2" s="5">
        <v>1094.7</v>
      </c>
      <c r="I2" s="5">
        <v>237.2</v>
      </c>
      <c r="J2" s="5">
        <v>105.52</v>
      </c>
      <c r="K2" s="5">
        <v>131.68</v>
      </c>
      <c r="L2" s="5">
        <v>312</v>
      </c>
      <c r="M2" s="5">
        <v>0.10494692999999999</v>
      </c>
      <c r="N2" s="6"/>
      <c r="O2" s="6"/>
      <c r="P2" s="7" t="str">
        <f t="shared" ref="P2:P33" si="0">IF(COUNTA(N2:O2)=0,"",AVERAGE(N2:O2))</f>
        <v/>
      </c>
      <c r="Q2" s="6"/>
      <c r="R2" s="7" t="str">
        <f t="shared" ref="R2:R33" si="1">IF(Q2&lt;&gt;"",Q2,IF(P2&lt;&gt;"",P2*7.89,""))</f>
        <v/>
      </c>
      <c r="S2" s="8"/>
      <c r="T2" s="8"/>
      <c r="U2" s="8"/>
      <c r="V2" s="8"/>
      <c r="W2" s="8"/>
    </row>
    <row r="3" spans="1:23" x14ac:dyDescent="0.25">
      <c r="A3" t="s">
        <v>30</v>
      </c>
      <c r="B3" t="s">
        <v>31</v>
      </c>
      <c r="C3" t="s">
        <v>32</v>
      </c>
      <c r="D3" t="s">
        <v>36</v>
      </c>
      <c r="E3" t="s">
        <v>37</v>
      </c>
      <c r="F3" s="5">
        <v>17</v>
      </c>
      <c r="G3" t="s">
        <v>35</v>
      </c>
      <c r="H3" s="5">
        <v>1090.9000000000001</v>
      </c>
      <c r="I3" s="5">
        <v>229.83</v>
      </c>
      <c r="J3" s="5">
        <v>97.54</v>
      </c>
      <c r="K3" s="5">
        <v>132.29</v>
      </c>
      <c r="L3" s="5">
        <v>292</v>
      </c>
      <c r="M3" s="5">
        <v>0.18544266000000001</v>
      </c>
      <c r="N3" s="6"/>
      <c r="O3" s="6"/>
      <c r="P3" s="7" t="str">
        <f t="shared" si="0"/>
        <v/>
      </c>
      <c r="Q3" s="6"/>
      <c r="R3" s="7" t="str">
        <f t="shared" si="1"/>
        <v/>
      </c>
      <c r="S3" s="8"/>
      <c r="T3" s="8"/>
      <c r="U3" s="8"/>
      <c r="V3" s="8"/>
      <c r="W3" s="8"/>
    </row>
    <row r="4" spans="1:23" x14ac:dyDescent="0.25">
      <c r="A4" t="s">
        <v>30</v>
      </c>
      <c r="B4" t="s">
        <v>31</v>
      </c>
      <c r="C4" t="s">
        <v>32</v>
      </c>
      <c r="D4" t="s">
        <v>38</v>
      </c>
      <c r="E4" t="s">
        <v>39</v>
      </c>
      <c r="F4" s="5">
        <v>20.5</v>
      </c>
      <c r="G4" t="s">
        <v>35</v>
      </c>
      <c r="H4" s="5">
        <v>1089</v>
      </c>
      <c r="I4" s="5">
        <v>217.23</v>
      </c>
      <c r="J4" s="5">
        <v>93.4</v>
      </c>
      <c r="K4" s="5">
        <v>123.83</v>
      </c>
      <c r="L4" s="5">
        <v>270</v>
      </c>
      <c r="M4" s="5">
        <v>0.29612159999999998</v>
      </c>
      <c r="N4" s="6"/>
      <c r="O4" s="6"/>
      <c r="P4" s="7" t="str">
        <f t="shared" si="0"/>
        <v/>
      </c>
      <c r="Q4" s="6"/>
      <c r="R4" s="7" t="str">
        <f t="shared" si="1"/>
        <v/>
      </c>
      <c r="S4" s="8"/>
      <c r="T4" s="8"/>
      <c r="U4" s="8"/>
      <c r="V4" s="8"/>
      <c r="W4" s="8"/>
    </row>
    <row r="5" spans="1:23" x14ac:dyDescent="0.25">
      <c r="A5" t="s">
        <v>30</v>
      </c>
      <c r="B5" t="s">
        <v>31</v>
      </c>
      <c r="C5" t="s">
        <v>32</v>
      </c>
      <c r="D5" t="s">
        <v>40</v>
      </c>
      <c r="E5" t="s">
        <v>41</v>
      </c>
      <c r="F5" s="5">
        <v>23</v>
      </c>
      <c r="G5" t="s">
        <v>35</v>
      </c>
      <c r="H5" s="5">
        <v>1087</v>
      </c>
      <c r="I5" s="5">
        <v>200.35</v>
      </c>
      <c r="J5" s="5">
        <v>85.94</v>
      </c>
      <c r="K5" s="5">
        <v>114.41</v>
      </c>
      <c r="L5" s="5">
        <v>252</v>
      </c>
      <c r="M5" s="5">
        <v>0.21779712000000001</v>
      </c>
      <c r="N5" s="6"/>
      <c r="O5" s="6"/>
      <c r="P5" s="7" t="str">
        <f t="shared" si="0"/>
        <v/>
      </c>
      <c r="Q5" s="6"/>
      <c r="R5" s="7" t="str">
        <f t="shared" si="1"/>
        <v/>
      </c>
      <c r="S5" s="8"/>
      <c r="T5" s="8"/>
      <c r="U5" s="8"/>
      <c r="V5" s="8"/>
      <c r="W5" s="8"/>
    </row>
    <row r="6" spans="1:23" x14ac:dyDescent="0.25">
      <c r="A6" t="s">
        <v>30</v>
      </c>
      <c r="B6" t="s">
        <v>31</v>
      </c>
      <c r="C6" t="s">
        <v>32</v>
      </c>
      <c r="D6" t="s">
        <v>42</v>
      </c>
      <c r="E6" t="s">
        <v>43</v>
      </c>
      <c r="F6" s="5">
        <v>25</v>
      </c>
      <c r="G6" t="s">
        <v>35</v>
      </c>
      <c r="H6" s="5">
        <v>1085.0999999999999</v>
      </c>
      <c r="I6" s="5">
        <v>182.54</v>
      </c>
      <c r="J6" s="5">
        <v>77.19</v>
      </c>
      <c r="K6" s="5">
        <v>105.35</v>
      </c>
      <c r="L6" s="5">
        <v>222</v>
      </c>
      <c r="M6" s="5">
        <v>0.40773641999999999</v>
      </c>
      <c r="N6" s="6"/>
      <c r="O6" s="6"/>
      <c r="P6" s="7" t="str">
        <f t="shared" si="0"/>
        <v/>
      </c>
      <c r="Q6" s="6"/>
      <c r="R6" s="7" t="str">
        <f t="shared" si="1"/>
        <v/>
      </c>
      <c r="S6" s="8"/>
      <c r="T6" s="8"/>
      <c r="U6" s="8"/>
      <c r="V6" s="8"/>
      <c r="W6" s="8"/>
    </row>
    <row r="7" spans="1:23" x14ac:dyDescent="0.25">
      <c r="A7" t="s">
        <v>30</v>
      </c>
      <c r="B7" t="s">
        <v>31</v>
      </c>
      <c r="C7" t="s">
        <v>32</v>
      </c>
      <c r="D7" t="s">
        <v>44</v>
      </c>
      <c r="E7" t="s">
        <v>45</v>
      </c>
      <c r="F7" s="5">
        <v>42.5</v>
      </c>
      <c r="G7" t="s">
        <v>35</v>
      </c>
      <c r="H7" s="5">
        <v>1074.4000000000001</v>
      </c>
      <c r="I7" s="5">
        <v>181.07</v>
      </c>
      <c r="J7" s="5">
        <v>73.36</v>
      </c>
      <c r="K7" s="5">
        <v>107.71</v>
      </c>
      <c r="L7" s="5">
        <v>154</v>
      </c>
      <c r="M7" s="5">
        <v>0.96539189999999997</v>
      </c>
      <c r="N7" s="6"/>
      <c r="O7" s="6"/>
      <c r="P7" s="7" t="str">
        <f t="shared" si="0"/>
        <v/>
      </c>
      <c r="Q7" s="6"/>
      <c r="R7" s="7" t="str">
        <f t="shared" si="1"/>
        <v/>
      </c>
      <c r="S7" s="8"/>
      <c r="T7" s="8"/>
      <c r="U7" s="8"/>
      <c r="V7" s="8"/>
      <c r="W7" s="8"/>
    </row>
    <row r="8" spans="1:23" x14ac:dyDescent="0.25">
      <c r="A8" t="s">
        <v>30</v>
      </c>
      <c r="B8" t="s">
        <v>31</v>
      </c>
      <c r="C8" t="s">
        <v>32</v>
      </c>
      <c r="D8" t="s">
        <v>46</v>
      </c>
      <c r="E8" t="s">
        <v>47</v>
      </c>
      <c r="F8" s="5">
        <v>45</v>
      </c>
      <c r="G8" t="s">
        <v>35</v>
      </c>
      <c r="H8" s="5">
        <v>1073.4000000000001</v>
      </c>
      <c r="I8" s="5">
        <v>180.26</v>
      </c>
      <c r="J8" s="5">
        <v>71.89</v>
      </c>
      <c r="K8" s="5">
        <v>108.37</v>
      </c>
      <c r="L8" s="5">
        <v>134</v>
      </c>
      <c r="M8" s="5">
        <v>0.84228101999999994</v>
      </c>
      <c r="N8" s="6"/>
      <c r="O8" s="6"/>
      <c r="P8" s="7" t="str">
        <f t="shared" si="0"/>
        <v/>
      </c>
      <c r="Q8" s="6"/>
      <c r="R8" s="7" t="str">
        <f t="shared" si="1"/>
        <v/>
      </c>
      <c r="S8" s="8"/>
      <c r="T8" s="8"/>
      <c r="U8" s="8"/>
      <c r="V8" s="8"/>
      <c r="W8" s="8"/>
    </row>
    <row r="9" spans="1:23" x14ac:dyDescent="0.25">
      <c r="A9" t="s">
        <v>30</v>
      </c>
      <c r="B9" t="s">
        <v>31</v>
      </c>
      <c r="C9" t="s">
        <v>32</v>
      </c>
      <c r="D9" t="s">
        <v>48</v>
      </c>
      <c r="E9" t="s">
        <v>49</v>
      </c>
      <c r="F9" s="5">
        <v>48.5</v>
      </c>
      <c r="G9" t="s">
        <v>35</v>
      </c>
      <c r="H9" s="5">
        <v>1067.7</v>
      </c>
      <c r="I9" s="5">
        <v>171.54</v>
      </c>
      <c r="J9" s="5">
        <v>68.599999999999994</v>
      </c>
      <c r="K9" s="5">
        <v>102.94</v>
      </c>
      <c r="L9" s="5">
        <v>114</v>
      </c>
      <c r="M9" s="5">
        <v>1.4953247999999999</v>
      </c>
      <c r="N9" s="6"/>
      <c r="O9" s="6"/>
      <c r="P9" s="7" t="str">
        <f t="shared" si="0"/>
        <v/>
      </c>
      <c r="Q9" s="6"/>
      <c r="R9" s="7" t="str">
        <f t="shared" si="1"/>
        <v/>
      </c>
      <c r="S9" s="8"/>
      <c r="T9" s="8"/>
      <c r="U9" s="8"/>
      <c r="V9" s="8"/>
      <c r="W9" s="8"/>
    </row>
    <row r="10" spans="1:23" x14ac:dyDescent="0.25">
      <c r="A10" t="s">
        <v>30</v>
      </c>
      <c r="B10" t="s">
        <v>31</v>
      </c>
      <c r="C10" t="s">
        <v>32</v>
      </c>
      <c r="D10" t="s">
        <v>50</v>
      </c>
      <c r="E10" t="s">
        <v>51</v>
      </c>
      <c r="F10" s="5">
        <v>66.5</v>
      </c>
      <c r="G10" t="s">
        <v>35</v>
      </c>
      <c r="H10" s="5">
        <v>1053.9000000000001</v>
      </c>
      <c r="I10" s="5">
        <v>143.80000000000001</v>
      </c>
      <c r="J10" s="5">
        <v>50.92</v>
      </c>
      <c r="K10" s="5">
        <v>92.88</v>
      </c>
      <c r="L10" s="5">
        <v>52</v>
      </c>
      <c r="M10" s="5">
        <v>2.0782484399999999</v>
      </c>
      <c r="N10" s="6"/>
      <c r="O10" s="6"/>
      <c r="P10" s="7" t="str">
        <f t="shared" si="0"/>
        <v/>
      </c>
      <c r="Q10" s="6"/>
      <c r="R10" s="7" t="str">
        <f t="shared" si="1"/>
        <v/>
      </c>
      <c r="S10" s="8"/>
      <c r="T10" s="8"/>
      <c r="U10" s="8"/>
      <c r="V10" s="8"/>
      <c r="W10" s="8"/>
    </row>
    <row r="11" spans="1:23" x14ac:dyDescent="0.25">
      <c r="A11" t="s">
        <v>30</v>
      </c>
      <c r="B11" t="s">
        <v>31</v>
      </c>
      <c r="C11" t="s">
        <v>32</v>
      </c>
      <c r="D11" t="s">
        <v>52</v>
      </c>
      <c r="E11" t="s">
        <v>53</v>
      </c>
      <c r="F11" s="5">
        <v>69</v>
      </c>
      <c r="G11" t="s">
        <v>35</v>
      </c>
      <c r="H11" s="5">
        <v>1053.0999999999999</v>
      </c>
      <c r="I11" s="5">
        <v>136.56</v>
      </c>
      <c r="J11" s="5">
        <v>47.38</v>
      </c>
      <c r="K11" s="5">
        <v>89.18</v>
      </c>
      <c r="L11" s="5">
        <v>50</v>
      </c>
      <c r="M11" s="5">
        <v>1.6796263499999999</v>
      </c>
      <c r="N11" s="6"/>
      <c r="O11" s="6"/>
      <c r="P11" s="7" t="str">
        <f t="shared" si="0"/>
        <v/>
      </c>
      <c r="Q11" s="6"/>
      <c r="R11" s="7" t="str">
        <f t="shared" si="1"/>
        <v/>
      </c>
      <c r="S11" s="8"/>
      <c r="T11" s="8"/>
      <c r="U11" s="8"/>
      <c r="V11" s="8"/>
      <c r="W11" s="8"/>
    </row>
    <row r="12" spans="1:23" x14ac:dyDescent="0.25">
      <c r="A12" t="s">
        <v>30</v>
      </c>
      <c r="B12" t="s">
        <v>31</v>
      </c>
      <c r="C12" t="s">
        <v>32</v>
      </c>
      <c r="D12" t="s">
        <v>54</v>
      </c>
      <c r="E12" t="s">
        <v>55</v>
      </c>
      <c r="F12" s="5">
        <v>72.5</v>
      </c>
      <c r="G12" t="s">
        <v>35</v>
      </c>
      <c r="H12" s="5">
        <v>1049.4000000000001</v>
      </c>
      <c r="I12" s="5">
        <v>130.04</v>
      </c>
      <c r="J12" s="5">
        <v>43.2</v>
      </c>
      <c r="K12" s="5">
        <v>86.839999999999989</v>
      </c>
      <c r="L12" s="5">
        <v>45</v>
      </c>
      <c r="M12" s="5">
        <v>1.8110097599999999</v>
      </c>
      <c r="N12" s="6"/>
      <c r="O12" s="6"/>
      <c r="P12" s="7" t="str">
        <f t="shared" si="0"/>
        <v/>
      </c>
      <c r="Q12" s="6"/>
      <c r="R12" s="7" t="str">
        <f t="shared" si="1"/>
        <v/>
      </c>
      <c r="S12" s="8"/>
      <c r="T12" s="8"/>
      <c r="U12" s="8"/>
      <c r="V12" s="8"/>
      <c r="W12" s="8"/>
    </row>
    <row r="13" spans="1:23" x14ac:dyDescent="0.25">
      <c r="A13" t="s">
        <v>30</v>
      </c>
      <c r="B13" t="s">
        <v>31</v>
      </c>
      <c r="C13" t="s">
        <v>32</v>
      </c>
      <c r="D13" t="s">
        <v>56</v>
      </c>
      <c r="E13" t="s">
        <v>57</v>
      </c>
      <c r="F13" s="5">
        <v>90.5</v>
      </c>
      <c r="G13" t="s">
        <v>35</v>
      </c>
      <c r="H13" s="5">
        <v>1037.7</v>
      </c>
      <c r="I13" s="5">
        <v>104.47</v>
      </c>
      <c r="J13" s="5">
        <v>31.06</v>
      </c>
      <c r="K13" s="5">
        <v>73.41</v>
      </c>
      <c r="L13" s="5">
        <v>1</v>
      </c>
      <c r="M13" s="5">
        <v>1.6705242</v>
      </c>
      <c r="N13" s="6"/>
      <c r="O13" s="6"/>
      <c r="P13" s="7" t="str">
        <f t="shared" si="0"/>
        <v/>
      </c>
      <c r="Q13" s="6"/>
      <c r="R13" s="7" t="str">
        <f t="shared" si="1"/>
        <v/>
      </c>
      <c r="S13" s="8"/>
      <c r="T13" s="8"/>
      <c r="U13" s="8"/>
      <c r="V13" s="8"/>
      <c r="W13" s="8"/>
    </row>
    <row r="14" spans="1:23" x14ac:dyDescent="0.25">
      <c r="A14" t="s">
        <v>30</v>
      </c>
      <c r="B14" t="s">
        <v>31</v>
      </c>
      <c r="C14" t="s">
        <v>32</v>
      </c>
      <c r="D14" t="s">
        <v>58</v>
      </c>
      <c r="E14" t="s">
        <v>59</v>
      </c>
      <c r="F14" s="5">
        <v>92.5</v>
      </c>
      <c r="G14" t="s">
        <v>35</v>
      </c>
      <c r="H14" s="5">
        <v>1037.4000000000001</v>
      </c>
      <c r="I14" s="5">
        <v>101.78</v>
      </c>
      <c r="J14" s="5">
        <v>30.64</v>
      </c>
      <c r="K14" s="5">
        <v>71.14</v>
      </c>
      <c r="L14" s="5">
        <v>1</v>
      </c>
      <c r="M14" s="5">
        <v>1.92636378</v>
      </c>
      <c r="N14" s="6"/>
      <c r="O14" s="6"/>
      <c r="P14" s="7" t="str">
        <f t="shared" si="0"/>
        <v/>
      </c>
      <c r="Q14" s="6"/>
      <c r="R14" s="7" t="str">
        <f t="shared" si="1"/>
        <v/>
      </c>
      <c r="S14" s="8"/>
      <c r="T14" s="8"/>
      <c r="U14" s="8"/>
      <c r="V14" s="8"/>
      <c r="W14" s="8"/>
    </row>
    <row r="15" spans="1:23" x14ac:dyDescent="0.25">
      <c r="A15" t="s">
        <v>30</v>
      </c>
      <c r="B15" t="s">
        <v>31</v>
      </c>
      <c r="C15" t="s">
        <v>32</v>
      </c>
      <c r="D15" t="s">
        <v>60</v>
      </c>
      <c r="E15" t="s">
        <v>61</v>
      </c>
      <c r="F15" s="5">
        <v>96.5</v>
      </c>
      <c r="G15" t="s">
        <v>35</v>
      </c>
      <c r="H15" s="5">
        <v>1035.9000000000001</v>
      </c>
      <c r="I15" s="5">
        <v>102.2</v>
      </c>
      <c r="J15" s="5">
        <v>29.85</v>
      </c>
      <c r="K15" s="5">
        <v>72.349999999999994</v>
      </c>
      <c r="L15" s="5">
        <v>2</v>
      </c>
      <c r="M15" s="5">
        <v>1.74881106</v>
      </c>
      <c r="N15" s="6"/>
      <c r="O15" s="6"/>
      <c r="P15" s="7" t="str">
        <f t="shared" si="0"/>
        <v/>
      </c>
      <c r="Q15" s="6"/>
      <c r="R15" s="7" t="str">
        <f t="shared" si="1"/>
        <v/>
      </c>
      <c r="S15" s="8"/>
      <c r="T15" s="8"/>
      <c r="U15" s="8"/>
      <c r="V15" s="8"/>
      <c r="W15" s="8"/>
    </row>
    <row r="16" spans="1:23" x14ac:dyDescent="0.25">
      <c r="A16" t="s">
        <v>30</v>
      </c>
      <c r="B16" t="s">
        <v>31</v>
      </c>
      <c r="C16" t="s">
        <v>32</v>
      </c>
      <c r="D16" t="s">
        <v>62</v>
      </c>
      <c r="E16" t="s">
        <v>63</v>
      </c>
      <c r="F16" s="5">
        <v>162.5</v>
      </c>
      <c r="G16" t="s">
        <v>35</v>
      </c>
      <c r="H16" s="5">
        <v>1005.3</v>
      </c>
      <c r="I16" s="5">
        <v>37.840000000000003</v>
      </c>
      <c r="J16" s="5">
        <v>4.43</v>
      </c>
      <c r="K16" s="5">
        <v>33.409999999999997</v>
      </c>
      <c r="L16" s="5">
        <v>14</v>
      </c>
      <c r="M16" s="5">
        <v>1.7373542399999999</v>
      </c>
      <c r="N16" s="6"/>
      <c r="O16" s="6"/>
      <c r="P16" s="7" t="str">
        <f t="shared" si="0"/>
        <v/>
      </c>
      <c r="Q16" s="6"/>
      <c r="R16" s="7" t="str">
        <f t="shared" si="1"/>
        <v/>
      </c>
      <c r="S16" s="8"/>
      <c r="T16" s="8"/>
      <c r="U16" s="8"/>
      <c r="V16" s="8"/>
      <c r="W16" s="8"/>
    </row>
    <row r="17" spans="1:23" x14ac:dyDescent="0.25">
      <c r="A17" t="s">
        <v>30</v>
      </c>
      <c r="B17" t="s">
        <v>31</v>
      </c>
      <c r="C17" t="s">
        <v>32</v>
      </c>
      <c r="D17" t="s">
        <v>64</v>
      </c>
      <c r="E17" t="s">
        <v>65</v>
      </c>
      <c r="F17" s="5">
        <v>168.5</v>
      </c>
      <c r="G17" t="s">
        <v>35</v>
      </c>
      <c r="H17" s="5">
        <v>1003.9</v>
      </c>
      <c r="I17" s="5">
        <v>33.97</v>
      </c>
      <c r="J17" s="5">
        <v>3.33</v>
      </c>
      <c r="K17" s="5">
        <v>30.64</v>
      </c>
      <c r="L17" s="5">
        <v>13</v>
      </c>
      <c r="M17" s="5">
        <v>1.63814298</v>
      </c>
      <c r="N17" s="6"/>
      <c r="O17" s="6"/>
      <c r="P17" s="7" t="str">
        <f t="shared" si="0"/>
        <v/>
      </c>
      <c r="Q17" s="6"/>
      <c r="R17" s="7" t="str">
        <f t="shared" si="1"/>
        <v/>
      </c>
      <c r="S17" s="8"/>
      <c r="T17" s="8"/>
      <c r="U17" s="8"/>
      <c r="V17" s="8"/>
      <c r="W17" s="8"/>
    </row>
    <row r="18" spans="1:23" x14ac:dyDescent="0.25">
      <c r="A18" t="s">
        <v>30</v>
      </c>
      <c r="B18" t="s">
        <v>31</v>
      </c>
      <c r="C18" t="s">
        <v>32</v>
      </c>
      <c r="D18" t="s">
        <v>66</v>
      </c>
      <c r="E18" t="s">
        <v>67</v>
      </c>
      <c r="F18" s="5">
        <v>186.5</v>
      </c>
      <c r="G18" t="s">
        <v>35</v>
      </c>
      <c r="H18" s="5">
        <v>998.8</v>
      </c>
      <c r="I18" s="5">
        <v>21.1</v>
      </c>
      <c r="J18" s="5">
        <v>3.41</v>
      </c>
      <c r="K18" s="5">
        <v>17.690000000000001</v>
      </c>
      <c r="L18" s="5">
        <v>12</v>
      </c>
      <c r="M18" s="5">
        <v>1.5367775400000001</v>
      </c>
      <c r="N18" s="6"/>
      <c r="O18" s="6"/>
      <c r="P18" s="7" t="str">
        <f t="shared" si="0"/>
        <v/>
      </c>
      <c r="Q18" s="6"/>
      <c r="R18" s="7" t="str">
        <f t="shared" si="1"/>
        <v/>
      </c>
      <c r="S18" s="8"/>
      <c r="T18" s="8"/>
      <c r="U18" s="8"/>
      <c r="V18" s="8"/>
      <c r="W18" s="8"/>
    </row>
    <row r="19" spans="1:23" x14ac:dyDescent="0.25">
      <c r="A19" t="s">
        <v>30</v>
      </c>
      <c r="B19" t="s">
        <v>31</v>
      </c>
      <c r="C19" t="s">
        <v>32</v>
      </c>
      <c r="D19" t="s">
        <v>68</v>
      </c>
      <c r="E19" t="s">
        <v>69</v>
      </c>
      <c r="F19" s="5">
        <v>192.5</v>
      </c>
      <c r="G19" t="s">
        <v>35</v>
      </c>
      <c r="H19" s="5">
        <v>997.8</v>
      </c>
      <c r="I19" s="5">
        <v>16.260000000000002</v>
      </c>
      <c r="J19" s="5">
        <v>2.71</v>
      </c>
      <c r="K19" s="5">
        <v>13.55</v>
      </c>
      <c r="L19" s="5"/>
      <c r="M19" s="5">
        <v>1.53733608</v>
      </c>
      <c r="N19" s="6"/>
      <c r="O19" s="6"/>
      <c r="P19" s="7" t="str">
        <f t="shared" si="0"/>
        <v/>
      </c>
      <c r="Q19" s="6"/>
      <c r="R19" s="7" t="str">
        <f t="shared" si="1"/>
        <v/>
      </c>
      <c r="S19" s="8"/>
      <c r="T19" s="8"/>
      <c r="U19" s="8"/>
      <c r="V19" s="8"/>
      <c r="W19" s="8"/>
    </row>
    <row r="20" spans="1:23" x14ac:dyDescent="0.25">
      <c r="A20" t="s">
        <v>30</v>
      </c>
      <c r="B20" t="s">
        <v>31</v>
      </c>
      <c r="C20" t="s">
        <v>32</v>
      </c>
      <c r="D20" t="s">
        <v>70</v>
      </c>
      <c r="E20" t="s">
        <v>71</v>
      </c>
      <c r="F20" s="5">
        <v>211.5</v>
      </c>
      <c r="G20" t="s">
        <v>35</v>
      </c>
      <c r="H20" s="5">
        <v>993.9</v>
      </c>
      <c r="I20" s="5">
        <v>13.73</v>
      </c>
      <c r="J20" s="5">
        <v>1.41</v>
      </c>
      <c r="K20" s="5">
        <v>12.32</v>
      </c>
      <c r="L20" s="5">
        <v>28</v>
      </c>
      <c r="M20" s="5">
        <v>1.17032487</v>
      </c>
      <c r="N20" s="6"/>
      <c r="O20" s="6"/>
      <c r="P20" s="7" t="str">
        <f t="shared" si="0"/>
        <v/>
      </c>
      <c r="Q20" s="6"/>
      <c r="R20" s="7" t="str">
        <f t="shared" si="1"/>
        <v/>
      </c>
      <c r="S20" s="8"/>
      <c r="T20" s="8"/>
      <c r="U20" s="8"/>
      <c r="V20" s="8"/>
      <c r="W20" s="8"/>
    </row>
    <row r="21" spans="1:23" x14ac:dyDescent="0.25">
      <c r="A21" t="s">
        <v>30</v>
      </c>
      <c r="B21" t="s">
        <v>72</v>
      </c>
      <c r="C21" t="s">
        <v>73</v>
      </c>
      <c r="D21" t="s">
        <v>74</v>
      </c>
      <c r="E21" t="s">
        <v>34</v>
      </c>
      <c r="F21" s="5">
        <v>0</v>
      </c>
      <c r="G21" t="s">
        <v>35</v>
      </c>
      <c r="H21" s="5">
        <v>1059.0999999999999</v>
      </c>
      <c r="I21" s="5">
        <v>143.94</v>
      </c>
      <c r="J21" s="5">
        <v>62.17</v>
      </c>
      <c r="K21" s="5">
        <v>81.77</v>
      </c>
      <c r="L21" s="5">
        <v>37</v>
      </c>
      <c r="M21" s="5">
        <v>1.0946511000000001</v>
      </c>
      <c r="N21" s="6"/>
      <c r="O21" s="6"/>
      <c r="P21" s="7" t="str">
        <f t="shared" si="0"/>
        <v/>
      </c>
      <c r="Q21" s="6"/>
      <c r="R21" s="7" t="str">
        <f t="shared" si="1"/>
        <v/>
      </c>
      <c r="S21" s="8"/>
      <c r="T21" s="8"/>
      <c r="U21" s="8"/>
      <c r="V21" s="8"/>
      <c r="W21" s="8"/>
    </row>
    <row r="22" spans="1:23" x14ac:dyDescent="0.25">
      <c r="A22" t="s">
        <v>30</v>
      </c>
      <c r="B22" t="s">
        <v>72</v>
      </c>
      <c r="C22" t="s">
        <v>73</v>
      </c>
      <c r="D22" t="s">
        <v>75</v>
      </c>
      <c r="E22" t="s">
        <v>37</v>
      </c>
      <c r="F22" s="5">
        <v>17</v>
      </c>
      <c r="G22" t="s">
        <v>35</v>
      </c>
      <c r="H22" s="5">
        <v>1051.4000000000001</v>
      </c>
      <c r="I22" s="5">
        <v>131.24</v>
      </c>
      <c r="J22" s="5">
        <v>55.23</v>
      </c>
      <c r="K22" s="5">
        <v>76.010000000000019</v>
      </c>
      <c r="L22" s="5">
        <v>10</v>
      </c>
      <c r="M22" s="5">
        <v>1.4608011000000001</v>
      </c>
      <c r="N22" s="6"/>
      <c r="O22" s="6"/>
      <c r="P22" s="7" t="str">
        <f t="shared" si="0"/>
        <v/>
      </c>
      <c r="Q22" s="6"/>
      <c r="R22" s="7" t="str">
        <f t="shared" si="1"/>
        <v/>
      </c>
      <c r="S22" s="8"/>
      <c r="T22" s="8"/>
      <c r="U22" s="8"/>
      <c r="V22" s="8"/>
      <c r="W22" s="8"/>
    </row>
    <row r="23" spans="1:23" x14ac:dyDescent="0.25">
      <c r="A23" t="s">
        <v>30</v>
      </c>
      <c r="B23" t="s">
        <v>72</v>
      </c>
      <c r="C23" t="s">
        <v>73</v>
      </c>
      <c r="D23" t="s">
        <v>76</v>
      </c>
      <c r="E23" t="s">
        <v>39</v>
      </c>
      <c r="F23" s="5">
        <v>20.5</v>
      </c>
      <c r="G23" t="s">
        <v>35</v>
      </c>
      <c r="H23" s="5">
        <v>1051.7</v>
      </c>
      <c r="I23" s="5">
        <v>129.16999999999999</v>
      </c>
      <c r="J23" s="5">
        <v>52.25</v>
      </c>
      <c r="K23" s="5">
        <v>76.919999999999987</v>
      </c>
      <c r="L23" s="5">
        <v>15</v>
      </c>
      <c r="M23" s="5">
        <v>1.7120063999999999</v>
      </c>
      <c r="N23" s="6"/>
      <c r="O23" s="6"/>
      <c r="P23" s="7" t="str">
        <f t="shared" si="0"/>
        <v/>
      </c>
      <c r="Q23" s="6"/>
      <c r="R23" s="7" t="str">
        <f t="shared" si="1"/>
        <v/>
      </c>
      <c r="S23" s="8"/>
      <c r="T23" s="8"/>
      <c r="U23" s="8"/>
      <c r="V23" s="8"/>
      <c r="W23" s="8"/>
    </row>
    <row r="24" spans="1:23" x14ac:dyDescent="0.25">
      <c r="A24" t="s">
        <v>30</v>
      </c>
      <c r="B24" t="s">
        <v>72</v>
      </c>
      <c r="C24" t="s">
        <v>73</v>
      </c>
      <c r="D24" t="s">
        <v>77</v>
      </c>
      <c r="E24" t="s">
        <v>41</v>
      </c>
      <c r="F24" s="5">
        <v>23</v>
      </c>
      <c r="G24" t="s">
        <v>35</v>
      </c>
      <c r="H24" s="5">
        <v>1052.8</v>
      </c>
      <c r="I24" s="5">
        <v>113.05</v>
      </c>
      <c r="J24" s="5">
        <v>52.35</v>
      </c>
      <c r="K24" s="5">
        <v>60.7</v>
      </c>
      <c r="L24" s="5">
        <v>16</v>
      </c>
      <c r="M24" s="5">
        <v>1.6289730600000001</v>
      </c>
      <c r="N24" s="6"/>
      <c r="O24" s="6"/>
      <c r="P24" s="7" t="str">
        <f t="shared" si="0"/>
        <v/>
      </c>
      <c r="Q24" s="6"/>
      <c r="R24" s="7" t="str">
        <f t="shared" si="1"/>
        <v/>
      </c>
      <c r="S24" s="8"/>
      <c r="T24" s="8"/>
      <c r="U24" s="8"/>
      <c r="V24" s="8"/>
      <c r="W24" s="8"/>
    </row>
    <row r="25" spans="1:23" x14ac:dyDescent="0.25">
      <c r="A25" t="s">
        <v>30</v>
      </c>
      <c r="B25" t="s">
        <v>72</v>
      </c>
      <c r="C25" t="s">
        <v>73</v>
      </c>
      <c r="D25" t="s">
        <v>78</v>
      </c>
      <c r="E25" t="s">
        <v>43</v>
      </c>
      <c r="F25" s="5">
        <v>25</v>
      </c>
      <c r="G25" t="s">
        <v>35</v>
      </c>
      <c r="H25" s="5">
        <v>1049.5999999999999</v>
      </c>
      <c r="I25" s="5">
        <v>126.83</v>
      </c>
      <c r="J25" s="5">
        <v>53.77</v>
      </c>
      <c r="K25" s="5">
        <v>73.06</v>
      </c>
      <c r="L25" s="5">
        <v>10</v>
      </c>
      <c r="M25" s="5">
        <v>1.4722755599999999</v>
      </c>
      <c r="N25" s="6"/>
      <c r="O25" s="6"/>
      <c r="P25" s="7" t="str">
        <f t="shared" si="0"/>
        <v/>
      </c>
      <c r="Q25" s="6"/>
      <c r="R25" s="7" t="str">
        <f t="shared" si="1"/>
        <v/>
      </c>
      <c r="S25" s="8"/>
      <c r="T25" s="8"/>
      <c r="U25" s="8"/>
      <c r="V25" s="8"/>
      <c r="W25" s="8"/>
    </row>
    <row r="26" spans="1:23" x14ac:dyDescent="0.25">
      <c r="A26" t="s">
        <v>30</v>
      </c>
      <c r="B26" t="s">
        <v>72</v>
      </c>
      <c r="C26" t="s">
        <v>73</v>
      </c>
      <c r="D26" t="s">
        <v>79</v>
      </c>
      <c r="E26" t="s">
        <v>45</v>
      </c>
      <c r="F26" s="5">
        <v>42.5</v>
      </c>
      <c r="G26" t="s">
        <v>35</v>
      </c>
      <c r="H26" s="5">
        <v>1046.2</v>
      </c>
      <c r="I26" s="5">
        <v>117.04</v>
      </c>
      <c r="J26" s="5">
        <v>47.87</v>
      </c>
      <c r="K26" s="5">
        <v>69.170000000000016</v>
      </c>
      <c r="L26" s="5">
        <v>0</v>
      </c>
      <c r="M26" s="5">
        <v>1.8547515000000001</v>
      </c>
      <c r="N26" s="6"/>
      <c r="O26" s="6"/>
      <c r="P26" s="7" t="str">
        <f t="shared" si="0"/>
        <v/>
      </c>
      <c r="Q26" s="6"/>
      <c r="R26" s="7" t="str">
        <f t="shared" si="1"/>
        <v/>
      </c>
      <c r="S26" s="8"/>
      <c r="T26" s="8"/>
      <c r="U26" s="8"/>
      <c r="V26" s="8"/>
      <c r="W26" s="8"/>
    </row>
    <row r="27" spans="1:23" x14ac:dyDescent="0.25">
      <c r="A27" t="s">
        <v>30</v>
      </c>
      <c r="B27" t="s">
        <v>72</v>
      </c>
      <c r="C27" t="s">
        <v>73</v>
      </c>
      <c r="D27" t="s">
        <v>80</v>
      </c>
      <c r="E27" t="s">
        <v>47</v>
      </c>
      <c r="F27" s="5">
        <v>45</v>
      </c>
      <c r="G27" t="s">
        <v>35</v>
      </c>
      <c r="H27" s="5">
        <v>1046.2</v>
      </c>
      <c r="I27" s="5">
        <v>118.5</v>
      </c>
      <c r="J27" s="5">
        <v>47.35</v>
      </c>
      <c r="K27" s="5">
        <v>71.150000000000006</v>
      </c>
      <c r="L27" s="5">
        <v>0</v>
      </c>
      <c r="M27" s="5">
        <v>1.93798125</v>
      </c>
      <c r="N27" s="6"/>
      <c r="O27" s="6"/>
      <c r="P27" s="7" t="str">
        <f t="shared" si="0"/>
        <v/>
      </c>
      <c r="Q27" s="6"/>
      <c r="R27" s="7" t="str">
        <f t="shared" si="1"/>
        <v/>
      </c>
      <c r="S27" s="8"/>
      <c r="T27" s="8"/>
      <c r="U27" s="8"/>
      <c r="V27" s="8"/>
      <c r="W27" s="8"/>
    </row>
    <row r="28" spans="1:23" x14ac:dyDescent="0.25">
      <c r="A28" t="s">
        <v>30</v>
      </c>
      <c r="B28" t="s">
        <v>72</v>
      </c>
      <c r="C28" t="s">
        <v>73</v>
      </c>
      <c r="D28" t="s">
        <v>81</v>
      </c>
      <c r="E28" t="s">
        <v>49</v>
      </c>
      <c r="F28" s="5">
        <v>48.5</v>
      </c>
      <c r="G28" t="s">
        <v>35</v>
      </c>
      <c r="H28" s="5">
        <v>1054.7</v>
      </c>
      <c r="I28" s="5">
        <v>140.1</v>
      </c>
      <c r="J28" s="5">
        <v>67.08</v>
      </c>
      <c r="K28" s="5">
        <v>73.02</v>
      </c>
      <c r="L28" s="5">
        <v>2</v>
      </c>
      <c r="M28" s="5">
        <v>1.8893546400000001</v>
      </c>
      <c r="N28" s="6"/>
      <c r="O28" s="6"/>
      <c r="P28" s="7" t="str">
        <f t="shared" si="0"/>
        <v/>
      </c>
      <c r="Q28" s="6"/>
      <c r="R28" s="7" t="str">
        <f t="shared" si="1"/>
        <v/>
      </c>
      <c r="S28" s="8"/>
      <c r="T28" s="8"/>
      <c r="U28" s="8"/>
      <c r="V28" s="8"/>
      <c r="W28" s="8"/>
    </row>
    <row r="29" spans="1:23" x14ac:dyDescent="0.25">
      <c r="A29" t="s">
        <v>30</v>
      </c>
      <c r="B29" t="s">
        <v>72</v>
      </c>
      <c r="C29" t="s">
        <v>73</v>
      </c>
      <c r="D29" t="s">
        <v>82</v>
      </c>
      <c r="E29" t="s">
        <v>51</v>
      </c>
      <c r="F29" s="5">
        <v>66.5</v>
      </c>
      <c r="G29" t="s">
        <v>35</v>
      </c>
      <c r="H29" s="5">
        <v>1049.5999999999999</v>
      </c>
      <c r="I29" s="5">
        <v>127.93</v>
      </c>
      <c r="J29" s="5">
        <v>59.49</v>
      </c>
      <c r="K29" s="5">
        <v>68.44</v>
      </c>
      <c r="L29" s="5">
        <v>10</v>
      </c>
      <c r="M29" s="5">
        <v>2.5137086399999999</v>
      </c>
      <c r="N29" s="6"/>
      <c r="O29" s="6"/>
      <c r="P29" s="7" t="str">
        <f t="shared" si="0"/>
        <v/>
      </c>
      <c r="Q29" s="6"/>
      <c r="R29" s="7" t="str">
        <f t="shared" si="1"/>
        <v/>
      </c>
      <c r="S29" s="8"/>
      <c r="T29" s="8"/>
      <c r="U29" s="8"/>
      <c r="V29" s="8"/>
      <c r="W29" s="8"/>
    </row>
    <row r="30" spans="1:23" x14ac:dyDescent="0.25">
      <c r="A30" t="s">
        <v>30</v>
      </c>
      <c r="B30" t="s">
        <v>72</v>
      </c>
      <c r="C30" t="s">
        <v>73</v>
      </c>
      <c r="D30" t="s">
        <v>83</v>
      </c>
      <c r="E30" t="s">
        <v>53</v>
      </c>
      <c r="F30" s="5">
        <v>69</v>
      </c>
      <c r="G30" t="s">
        <v>35</v>
      </c>
      <c r="H30" s="5">
        <v>1049.5</v>
      </c>
      <c r="I30" s="5">
        <v>126.47</v>
      </c>
      <c r="J30" s="5">
        <v>60.44</v>
      </c>
      <c r="K30" s="5">
        <v>66.03</v>
      </c>
      <c r="L30" s="5">
        <v>8</v>
      </c>
      <c r="M30" s="5">
        <v>1.825029</v>
      </c>
      <c r="N30" s="6"/>
      <c r="O30" s="6"/>
      <c r="P30" s="7" t="str">
        <f t="shared" si="0"/>
        <v/>
      </c>
      <c r="Q30" s="6"/>
      <c r="R30" s="7" t="str">
        <f t="shared" si="1"/>
        <v/>
      </c>
      <c r="S30" s="8"/>
      <c r="T30" s="8"/>
      <c r="U30" s="8"/>
      <c r="V30" s="8"/>
      <c r="W30" s="8"/>
    </row>
    <row r="31" spans="1:23" x14ac:dyDescent="0.25">
      <c r="A31" t="s">
        <v>30</v>
      </c>
      <c r="B31" t="s">
        <v>72</v>
      </c>
      <c r="C31" t="s">
        <v>73</v>
      </c>
      <c r="D31" t="s">
        <v>84</v>
      </c>
      <c r="E31" t="s">
        <v>55</v>
      </c>
      <c r="F31" s="5">
        <v>72.5</v>
      </c>
      <c r="G31" t="s">
        <v>35</v>
      </c>
      <c r="H31" s="5">
        <v>1048.3</v>
      </c>
      <c r="I31" s="5">
        <v>123.45</v>
      </c>
      <c r="J31" s="5">
        <v>55.31</v>
      </c>
      <c r="K31" s="5">
        <v>68.14</v>
      </c>
      <c r="L31" s="5">
        <v>14</v>
      </c>
      <c r="M31" s="5">
        <v>2.0256011100000002</v>
      </c>
      <c r="N31" s="6"/>
      <c r="O31" s="6"/>
      <c r="P31" s="7" t="str">
        <f t="shared" si="0"/>
        <v/>
      </c>
      <c r="Q31" s="6"/>
      <c r="R31" s="7" t="str">
        <f t="shared" si="1"/>
        <v/>
      </c>
      <c r="S31" s="8"/>
      <c r="T31" s="8"/>
      <c r="U31" s="8"/>
      <c r="V31" s="8"/>
      <c r="W31" s="8"/>
    </row>
    <row r="32" spans="1:23" x14ac:dyDescent="0.25">
      <c r="A32" t="s">
        <v>30</v>
      </c>
      <c r="B32" t="s">
        <v>72</v>
      </c>
      <c r="C32" t="s">
        <v>73</v>
      </c>
      <c r="D32" t="s">
        <v>85</v>
      </c>
      <c r="E32" t="s">
        <v>57</v>
      </c>
      <c r="F32" s="5">
        <v>90.5</v>
      </c>
      <c r="G32" t="s">
        <v>35</v>
      </c>
      <c r="H32" s="5">
        <v>1042.4000000000001</v>
      </c>
      <c r="I32" s="5">
        <v>111.2</v>
      </c>
      <c r="J32" s="5">
        <v>48.98</v>
      </c>
      <c r="K32" s="5">
        <v>62.220000000000013</v>
      </c>
      <c r="L32" s="5">
        <v>0</v>
      </c>
      <c r="M32" s="5">
        <v>1.8041398200000001</v>
      </c>
      <c r="N32" s="6"/>
      <c r="O32" s="6"/>
      <c r="P32" s="7" t="str">
        <f t="shared" si="0"/>
        <v/>
      </c>
      <c r="Q32" s="6"/>
      <c r="R32" s="7" t="str">
        <f t="shared" si="1"/>
        <v/>
      </c>
      <c r="S32" s="8"/>
      <c r="T32" s="8"/>
      <c r="U32" s="8"/>
      <c r="V32" s="8"/>
      <c r="W32" s="8"/>
    </row>
    <row r="33" spans="1:23" x14ac:dyDescent="0.25">
      <c r="A33" t="s">
        <v>30</v>
      </c>
      <c r="B33" t="s">
        <v>72</v>
      </c>
      <c r="C33" t="s">
        <v>73</v>
      </c>
      <c r="D33" t="s">
        <v>86</v>
      </c>
      <c r="E33" t="s">
        <v>59</v>
      </c>
      <c r="F33" s="5">
        <v>92.5</v>
      </c>
      <c r="G33" t="s">
        <v>35</v>
      </c>
      <c r="H33" s="5">
        <v>1041.9000000000001</v>
      </c>
      <c r="I33" s="5">
        <v>110.57</v>
      </c>
      <c r="J33" s="5">
        <v>49.71</v>
      </c>
      <c r="K33" s="5">
        <v>60.859999999999992</v>
      </c>
      <c r="L33" s="5">
        <v>0</v>
      </c>
      <c r="M33" s="5">
        <v>1.7719808399999999</v>
      </c>
      <c r="N33" s="6"/>
      <c r="O33" s="6"/>
      <c r="P33" s="7" t="str">
        <f t="shared" si="0"/>
        <v/>
      </c>
      <c r="Q33" s="6"/>
      <c r="R33" s="7" t="str">
        <f t="shared" si="1"/>
        <v/>
      </c>
      <c r="S33" s="8"/>
      <c r="T33" s="8"/>
      <c r="U33" s="8"/>
      <c r="V33" s="8"/>
      <c r="W33" s="8"/>
    </row>
    <row r="34" spans="1:23" x14ac:dyDescent="0.25">
      <c r="A34" t="s">
        <v>30</v>
      </c>
      <c r="B34" t="s">
        <v>72</v>
      </c>
      <c r="C34" t="s">
        <v>73</v>
      </c>
      <c r="D34" t="s">
        <v>87</v>
      </c>
      <c r="E34" t="s">
        <v>61</v>
      </c>
      <c r="F34" s="5">
        <v>96.5</v>
      </c>
      <c r="G34" t="s">
        <v>35</v>
      </c>
      <c r="H34" s="5">
        <v>1046.9000000000001</v>
      </c>
      <c r="I34" s="5">
        <v>125.65</v>
      </c>
      <c r="J34" s="5">
        <v>48.11</v>
      </c>
      <c r="K34" s="5">
        <v>77.540000000000006</v>
      </c>
      <c r="L34" s="5">
        <v>0</v>
      </c>
      <c r="M34" s="5">
        <v>1.7511301500000001</v>
      </c>
      <c r="N34" s="6"/>
      <c r="O34" s="6"/>
      <c r="P34" s="7" t="str">
        <f t="shared" ref="P34:P61" si="2">IF(COUNTA(N34:O34)=0,"",AVERAGE(N34:O34))</f>
        <v/>
      </c>
      <c r="Q34" s="6"/>
      <c r="R34" s="7" t="str">
        <f t="shared" ref="R34:R61" si="3">IF(Q34&lt;&gt;"",Q34,IF(P34&lt;&gt;"",P34*7.89,""))</f>
        <v/>
      </c>
      <c r="S34" s="8"/>
      <c r="T34" s="8"/>
      <c r="U34" s="8"/>
      <c r="V34" s="8"/>
      <c r="W34" s="8"/>
    </row>
    <row r="35" spans="1:23" x14ac:dyDescent="0.25">
      <c r="A35" t="s">
        <v>30</v>
      </c>
      <c r="B35" t="s">
        <v>72</v>
      </c>
      <c r="C35" t="s">
        <v>73</v>
      </c>
      <c r="D35" t="s">
        <v>88</v>
      </c>
      <c r="E35" t="s">
        <v>63</v>
      </c>
      <c r="F35" s="5">
        <v>162.5</v>
      </c>
      <c r="G35" t="s">
        <v>35</v>
      </c>
      <c r="H35" s="5">
        <v>1031.9000000000001</v>
      </c>
      <c r="I35" s="5">
        <v>92.8</v>
      </c>
      <c r="J35" s="5">
        <v>27.22</v>
      </c>
      <c r="K35" s="5">
        <v>65.58</v>
      </c>
      <c r="L35" s="5">
        <v>0</v>
      </c>
      <c r="M35" s="5">
        <v>1.86863139</v>
      </c>
      <c r="N35" s="6"/>
      <c r="O35" s="6"/>
      <c r="P35" s="7" t="str">
        <f t="shared" si="2"/>
        <v/>
      </c>
      <c r="Q35" s="6"/>
      <c r="R35" s="7" t="str">
        <f t="shared" si="3"/>
        <v/>
      </c>
      <c r="S35" s="8"/>
      <c r="T35" s="8"/>
      <c r="U35" s="8"/>
      <c r="V35" s="8"/>
      <c r="W35" s="8"/>
    </row>
    <row r="36" spans="1:23" x14ac:dyDescent="0.25">
      <c r="A36" t="s">
        <v>30</v>
      </c>
      <c r="B36" t="s">
        <v>72</v>
      </c>
      <c r="C36" t="s">
        <v>73</v>
      </c>
      <c r="D36" t="s">
        <v>89</v>
      </c>
      <c r="E36" t="s">
        <v>65</v>
      </c>
      <c r="F36" s="5">
        <v>168.5</v>
      </c>
      <c r="G36" t="s">
        <v>35</v>
      </c>
      <c r="H36" s="5">
        <v>1030.2</v>
      </c>
      <c r="I36" s="5">
        <v>87.72</v>
      </c>
      <c r="J36" s="5">
        <v>25.11</v>
      </c>
      <c r="K36" s="5">
        <v>62.61</v>
      </c>
      <c r="L36" s="5">
        <v>0</v>
      </c>
      <c r="M36" s="5">
        <v>2.8640013600000001</v>
      </c>
      <c r="N36" s="6"/>
      <c r="O36" s="6"/>
      <c r="P36" s="7" t="str">
        <f t="shared" si="2"/>
        <v/>
      </c>
      <c r="Q36" s="6"/>
      <c r="R36" s="7" t="str">
        <f t="shared" si="3"/>
        <v/>
      </c>
      <c r="S36" s="8"/>
      <c r="T36" s="8"/>
      <c r="U36" s="8"/>
      <c r="V36" s="8"/>
      <c r="W36" s="8"/>
    </row>
    <row r="37" spans="1:23" x14ac:dyDescent="0.25">
      <c r="A37" t="s">
        <v>30</v>
      </c>
      <c r="B37" t="s">
        <v>72</v>
      </c>
      <c r="C37" t="s">
        <v>73</v>
      </c>
      <c r="D37" t="s">
        <v>90</v>
      </c>
      <c r="E37" t="s">
        <v>67</v>
      </c>
      <c r="F37" s="5">
        <v>186.5</v>
      </c>
      <c r="G37" t="s">
        <v>35</v>
      </c>
      <c r="H37" s="5">
        <v>1026</v>
      </c>
      <c r="I37" s="5">
        <v>77.489999999999995</v>
      </c>
      <c r="J37" s="5"/>
      <c r="K37" s="5"/>
      <c r="L37" s="5">
        <v>0</v>
      </c>
      <c r="M37" s="5">
        <v>1.7651299499999999</v>
      </c>
      <c r="N37" s="6"/>
      <c r="O37" s="6"/>
      <c r="P37" s="7" t="str">
        <f t="shared" si="2"/>
        <v/>
      </c>
      <c r="Q37" s="6"/>
      <c r="R37" s="7" t="str">
        <f t="shared" si="3"/>
        <v/>
      </c>
      <c r="S37" s="8"/>
      <c r="T37" s="8"/>
      <c r="U37" s="8"/>
      <c r="V37" s="8"/>
      <c r="W37" s="8"/>
    </row>
    <row r="38" spans="1:23" x14ac:dyDescent="0.25">
      <c r="A38" t="s">
        <v>30</v>
      </c>
      <c r="B38" t="s">
        <v>72</v>
      </c>
      <c r="C38" t="s">
        <v>73</v>
      </c>
      <c r="D38" t="s">
        <v>91</v>
      </c>
      <c r="E38" t="s">
        <v>69</v>
      </c>
      <c r="F38" s="5">
        <v>192.5</v>
      </c>
      <c r="G38" t="s">
        <v>35</v>
      </c>
      <c r="H38" s="5">
        <v>1024.9000000000001</v>
      </c>
      <c r="I38" s="5">
        <v>71.77</v>
      </c>
      <c r="J38" s="5">
        <v>19.77</v>
      </c>
      <c r="K38" s="5">
        <v>52</v>
      </c>
      <c r="L38" s="5"/>
      <c r="M38" s="5">
        <v>1.7648870400000001</v>
      </c>
      <c r="N38" s="6"/>
      <c r="O38" s="6"/>
      <c r="P38" s="7" t="str">
        <f t="shared" si="2"/>
        <v/>
      </c>
      <c r="Q38" s="6"/>
      <c r="R38" s="7" t="str">
        <f t="shared" si="3"/>
        <v/>
      </c>
      <c r="S38" s="8"/>
      <c r="T38" s="8"/>
      <c r="U38" s="8"/>
      <c r="V38" s="8"/>
      <c r="W38" s="8"/>
    </row>
    <row r="39" spans="1:23" x14ac:dyDescent="0.25">
      <c r="A39" t="s">
        <v>30</v>
      </c>
      <c r="B39" t="s">
        <v>72</v>
      </c>
      <c r="C39" t="s">
        <v>73</v>
      </c>
      <c r="D39" t="s">
        <v>92</v>
      </c>
      <c r="E39" t="s">
        <v>71</v>
      </c>
      <c r="F39" s="5">
        <v>211.5</v>
      </c>
      <c r="G39" t="s">
        <v>35</v>
      </c>
      <c r="H39" s="5">
        <v>1022</v>
      </c>
      <c r="I39" s="5">
        <v>70.19</v>
      </c>
      <c r="J39" s="5">
        <v>16.91</v>
      </c>
      <c r="K39" s="5">
        <v>53.28</v>
      </c>
      <c r="L39" s="5">
        <v>2</v>
      </c>
      <c r="M39" s="5">
        <v>1.8269737500000001</v>
      </c>
      <c r="N39" s="6"/>
      <c r="O39" s="6"/>
      <c r="P39" s="7" t="str">
        <f t="shared" si="2"/>
        <v/>
      </c>
      <c r="Q39" s="6"/>
      <c r="R39" s="7" t="str">
        <f t="shared" si="3"/>
        <v/>
      </c>
      <c r="S39" s="8"/>
      <c r="T39" s="8"/>
      <c r="U39" s="8"/>
      <c r="V39" s="8"/>
      <c r="W39" s="8"/>
    </row>
    <row r="40" spans="1:23" x14ac:dyDescent="0.25">
      <c r="A40" t="s">
        <v>30</v>
      </c>
      <c r="B40" t="s">
        <v>72</v>
      </c>
      <c r="C40" t="s">
        <v>73</v>
      </c>
      <c r="D40" t="s">
        <v>93</v>
      </c>
      <c r="E40" t="s">
        <v>94</v>
      </c>
      <c r="F40" s="5">
        <v>240.5</v>
      </c>
      <c r="G40" t="s">
        <v>35</v>
      </c>
      <c r="H40" s="5">
        <v>1017.7</v>
      </c>
      <c r="I40" s="5">
        <v>68.03</v>
      </c>
      <c r="J40" s="5">
        <v>13.69</v>
      </c>
      <c r="K40" s="5">
        <v>54.34</v>
      </c>
      <c r="L40" s="5">
        <v>8</v>
      </c>
      <c r="M40" s="5">
        <v>1.61069175</v>
      </c>
      <c r="N40" s="6"/>
      <c r="O40" s="6"/>
      <c r="P40" s="7" t="str">
        <f t="shared" si="2"/>
        <v/>
      </c>
      <c r="Q40" s="6"/>
      <c r="R40" s="7" t="str">
        <f t="shared" si="3"/>
        <v/>
      </c>
      <c r="S40" s="8"/>
      <c r="T40" s="8"/>
      <c r="U40" s="8"/>
      <c r="V40" s="8"/>
      <c r="W40" s="8"/>
    </row>
    <row r="41" spans="1:23" x14ac:dyDescent="0.25">
      <c r="A41" t="s">
        <v>30</v>
      </c>
      <c r="B41" t="s">
        <v>72</v>
      </c>
      <c r="C41" t="s">
        <v>73</v>
      </c>
      <c r="D41" t="s">
        <v>95</v>
      </c>
      <c r="E41" t="s">
        <v>96</v>
      </c>
      <c r="F41" s="5">
        <v>260.5</v>
      </c>
      <c r="G41" t="s">
        <v>35</v>
      </c>
      <c r="H41" s="5">
        <v>1014.6</v>
      </c>
      <c r="I41" s="5">
        <v>55.13</v>
      </c>
      <c r="J41" s="5">
        <v>10.66</v>
      </c>
      <c r="K41" s="5">
        <v>44.47</v>
      </c>
      <c r="L41" s="5">
        <v>8</v>
      </c>
      <c r="M41" s="5">
        <v>1.6612516799999999</v>
      </c>
      <c r="N41" s="6"/>
      <c r="O41" s="6"/>
      <c r="P41" s="7" t="str">
        <f t="shared" si="2"/>
        <v/>
      </c>
      <c r="Q41" s="6"/>
      <c r="R41" s="7" t="str">
        <f t="shared" si="3"/>
        <v/>
      </c>
      <c r="S41" s="8"/>
      <c r="T41" s="8"/>
      <c r="U41" s="8"/>
      <c r="V41" s="8"/>
      <c r="W41" s="8"/>
    </row>
    <row r="42" spans="1:23" x14ac:dyDescent="0.25">
      <c r="A42" t="s">
        <v>30</v>
      </c>
      <c r="B42" t="s">
        <v>72</v>
      </c>
      <c r="C42" t="s">
        <v>73</v>
      </c>
      <c r="D42" t="s">
        <v>97</v>
      </c>
      <c r="E42" t="s">
        <v>98</v>
      </c>
      <c r="F42" s="5">
        <v>383.8</v>
      </c>
      <c r="G42" t="s">
        <v>99</v>
      </c>
      <c r="H42" s="5"/>
      <c r="I42" s="5">
        <v>26.8</v>
      </c>
      <c r="J42" s="5">
        <v>1.97</v>
      </c>
      <c r="K42" s="5">
        <v>24.83</v>
      </c>
      <c r="L42" s="5">
        <v>6</v>
      </c>
      <c r="M42" s="5"/>
      <c r="N42" s="6"/>
      <c r="O42" s="6"/>
      <c r="P42" s="7" t="str">
        <f t="shared" si="2"/>
        <v/>
      </c>
      <c r="Q42" s="6"/>
      <c r="R42" s="7" t="str">
        <f t="shared" si="3"/>
        <v/>
      </c>
      <c r="S42" s="8"/>
      <c r="T42" s="8"/>
      <c r="U42" s="8"/>
      <c r="V42" s="8"/>
      <c r="W42" s="8"/>
    </row>
    <row r="43" spans="1:23" x14ac:dyDescent="0.25">
      <c r="A43" t="s">
        <v>30</v>
      </c>
      <c r="B43" t="s">
        <v>100</v>
      </c>
      <c r="C43" t="s">
        <v>101</v>
      </c>
      <c r="D43" t="s">
        <v>102</v>
      </c>
      <c r="E43" t="s">
        <v>34</v>
      </c>
      <c r="F43" s="5">
        <v>0</v>
      </c>
      <c r="G43" t="s">
        <v>35</v>
      </c>
      <c r="H43" s="5">
        <v>1075.0999999999999</v>
      </c>
      <c r="I43" s="5">
        <v>162.41999999999999</v>
      </c>
      <c r="J43" s="5">
        <v>30.13</v>
      </c>
      <c r="K43" s="5">
        <v>132.29</v>
      </c>
      <c r="L43" s="5">
        <v>189</v>
      </c>
      <c r="M43" s="5">
        <v>0.13253345999999999</v>
      </c>
      <c r="N43" s="6"/>
      <c r="O43" s="6"/>
      <c r="P43" s="7" t="str">
        <f t="shared" si="2"/>
        <v/>
      </c>
      <c r="Q43" s="6"/>
      <c r="R43" s="7" t="str">
        <f t="shared" si="3"/>
        <v/>
      </c>
      <c r="S43" s="8"/>
      <c r="T43" s="8"/>
      <c r="U43" s="8"/>
      <c r="V43" s="8"/>
      <c r="W43" s="8"/>
    </row>
    <row r="44" spans="1:23" x14ac:dyDescent="0.25">
      <c r="A44" t="s">
        <v>30</v>
      </c>
      <c r="B44" t="s">
        <v>100</v>
      </c>
      <c r="C44" t="s">
        <v>101</v>
      </c>
      <c r="D44" t="s">
        <v>103</v>
      </c>
      <c r="E44" t="s">
        <v>37</v>
      </c>
      <c r="F44" s="5">
        <v>17</v>
      </c>
      <c r="G44" t="s">
        <v>35</v>
      </c>
      <c r="H44" s="5">
        <v>1072.5</v>
      </c>
      <c r="I44" s="5">
        <v>148.94</v>
      </c>
      <c r="J44" s="5">
        <v>27.86</v>
      </c>
      <c r="K44" s="5">
        <v>121.08</v>
      </c>
      <c r="L44" s="5">
        <v>162</v>
      </c>
      <c r="M44" s="5">
        <v>0.2107723199999999</v>
      </c>
      <c r="N44" s="6"/>
      <c r="O44" s="6"/>
      <c r="P44" s="7" t="str">
        <f t="shared" si="2"/>
        <v/>
      </c>
      <c r="Q44" s="6"/>
      <c r="R44" s="7" t="str">
        <f t="shared" si="3"/>
        <v/>
      </c>
      <c r="S44" s="8"/>
      <c r="T44" s="8"/>
      <c r="U44" s="8"/>
      <c r="V44" s="8"/>
      <c r="W44" s="8"/>
    </row>
    <row r="45" spans="1:23" x14ac:dyDescent="0.25">
      <c r="A45" t="s">
        <v>30</v>
      </c>
      <c r="B45" t="s">
        <v>100</v>
      </c>
      <c r="C45" t="s">
        <v>101</v>
      </c>
      <c r="D45" t="s">
        <v>104</v>
      </c>
      <c r="E45" t="s">
        <v>39</v>
      </c>
      <c r="F45" s="5">
        <v>20.5</v>
      </c>
      <c r="G45" t="s">
        <v>35</v>
      </c>
      <c r="H45" s="5">
        <v>1071.3</v>
      </c>
      <c r="I45" s="5">
        <v>169.43</v>
      </c>
      <c r="J45" s="5">
        <v>27.99</v>
      </c>
      <c r="K45" s="5">
        <v>141.44</v>
      </c>
      <c r="L45" s="5">
        <v>147</v>
      </c>
      <c r="M45" s="5">
        <v>0.24196575000000001</v>
      </c>
      <c r="N45" s="6"/>
      <c r="O45" s="6"/>
      <c r="P45" s="7" t="str">
        <f t="shared" si="2"/>
        <v/>
      </c>
      <c r="Q45" s="6"/>
      <c r="R45" s="7" t="str">
        <f t="shared" si="3"/>
        <v/>
      </c>
      <c r="S45" s="8"/>
      <c r="T45" s="8"/>
      <c r="U45" s="8"/>
      <c r="V45" s="8"/>
      <c r="W45" s="8"/>
    </row>
    <row r="46" spans="1:23" x14ac:dyDescent="0.25">
      <c r="A46" t="s">
        <v>30</v>
      </c>
      <c r="B46" t="s">
        <v>100</v>
      </c>
      <c r="C46" t="s">
        <v>101</v>
      </c>
      <c r="D46" t="s">
        <v>105</v>
      </c>
      <c r="E46" t="s">
        <v>41</v>
      </c>
      <c r="F46" s="5">
        <v>23</v>
      </c>
      <c r="G46" t="s">
        <v>35</v>
      </c>
      <c r="H46" s="5">
        <v>1069.5</v>
      </c>
      <c r="I46" s="5">
        <v>168.36</v>
      </c>
      <c r="J46" s="5">
        <v>26.01</v>
      </c>
      <c r="K46" s="5">
        <v>142.35</v>
      </c>
      <c r="L46" s="5">
        <v>132</v>
      </c>
      <c r="M46" s="5">
        <v>0.22009365</v>
      </c>
      <c r="N46" s="6"/>
      <c r="O46" s="6"/>
      <c r="P46" s="7" t="str">
        <f t="shared" si="2"/>
        <v/>
      </c>
      <c r="Q46" s="6"/>
      <c r="R46" s="7" t="str">
        <f t="shared" si="3"/>
        <v/>
      </c>
      <c r="S46" s="8"/>
      <c r="T46" s="8"/>
      <c r="U46" s="8"/>
      <c r="V46" s="8"/>
      <c r="W46" s="8"/>
    </row>
    <row r="47" spans="1:23" x14ac:dyDescent="0.25">
      <c r="A47" t="s">
        <v>30</v>
      </c>
      <c r="B47" t="s">
        <v>100</v>
      </c>
      <c r="C47" t="s">
        <v>101</v>
      </c>
      <c r="D47" t="s">
        <v>106</v>
      </c>
      <c r="E47" t="s">
        <v>43</v>
      </c>
      <c r="F47" s="5">
        <v>25</v>
      </c>
      <c r="G47" t="s">
        <v>107</v>
      </c>
      <c r="H47" s="5"/>
      <c r="I47" s="5">
        <v>169.38</v>
      </c>
      <c r="J47" s="5">
        <v>26.96</v>
      </c>
      <c r="K47" s="5">
        <v>142.41999999999999</v>
      </c>
      <c r="L47" s="5">
        <v>124</v>
      </c>
      <c r="M47" s="5"/>
      <c r="N47" s="6"/>
      <c r="O47" s="6"/>
      <c r="P47" s="7" t="str">
        <f t="shared" si="2"/>
        <v/>
      </c>
      <c r="Q47" s="6"/>
      <c r="R47" s="7" t="str">
        <f t="shared" si="3"/>
        <v/>
      </c>
      <c r="S47" s="8"/>
      <c r="T47" s="8"/>
      <c r="U47" s="8"/>
      <c r="V47" s="8"/>
      <c r="W47" s="8"/>
    </row>
    <row r="48" spans="1:23" x14ac:dyDescent="0.25">
      <c r="A48" t="s">
        <v>30</v>
      </c>
      <c r="B48" t="s">
        <v>100</v>
      </c>
      <c r="C48" t="s">
        <v>101</v>
      </c>
      <c r="D48" t="s">
        <v>108</v>
      </c>
      <c r="E48" t="s">
        <v>45</v>
      </c>
      <c r="F48" s="5">
        <v>42.5</v>
      </c>
      <c r="G48" t="s">
        <v>35</v>
      </c>
      <c r="H48" s="5">
        <v>1060.4000000000001</v>
      </c>
      <c r="I48" s="5">
        <v>144.38</v>
      </c>
      <c r="J48" s="5">
        <v>19.87</v>
      </c>
      <c r="K48" s="5">
        <v>124.51</v>
      </c>
      <c r="L48" s="5">
        <v>55</v>
      </c>
      <c r="M48" s="5">
        <v>0.77194394999999993</v>
      </c>
      <c r="N48" s="6"/>
      <c r="O48" s="6"/>
      <c r="P48" s="7" t="str">
        <f t="shared" si="2"/>
        <v/>
      </c>
      <c r="Q48" s="6"/>
      <c r="R48" s="7" t="str">
        <f t="shared" si="3"/>
        <v/>
      </c>
      <c r="S48" s="8"/>
      <c r="T48" s="8"/>
      <c r="U48" s="8"/>
      <c r="V48" s="8"/>
      <c r="W48" s="8"/>
    </row>
    <row r="49" spans="1:23" x14ac:dyDescent="0.25">
      <c r="A49" t="s">
        <v>30</v>
      </c>
      <c r="B49" t="s">
        <v>100</v>
      </c>
      <c r="C49" t="s">
        <v>101</v>
      </c>
      <c r="D49" t="s">
        <v>109</v>
      </c>
      <c r="E49" t="s">
        <v>47</v>
      </c>
      <c r="F49" s="5">
        <v>45</v>
      </c>
      <c r="G49" t="s">
        <v>35</v>
      </c>
      <c r="H49" s="5">
        <v>1059.2</v>
      </c>
      <c r="I49" s="5"/>
      <c r="J49" s="5">
        <v>20.11</v>
      </c>
      <c r="K49" s="5"/>
      <c r="L49" s="5">
        <v>43</v>
      </c>
      <c r="M49" s="5">
        <v>0.98604756000000016</v>
      </c>
      <c r="N49" s="6"/>
      <c r="O49" s="6"/>
      <c r="P49" s="7" t="str">
        <f t="shared" si="2"/>
        <v/>
      </c>
      <c r="Q49" s="6"/>
      <c r="R49" s="7" t="str">
        <f t="shared" si="3"/>
        <v/>
      </c>
      <c r="S49" s="8"/>
      <c r="T49" s="8"/>
      <c r="U49" s="8"/>
      <c r="V49" s="8"/>
      <c r="W49" s="8"/>
    </row>
    <row r="50" spans="1:23" x14ac:dyDescent="0.25">
      <c r="A50" t="s">
        <v>30</v>
      </c>
      <c r="B50" t="s">
        <v>100</v>
      </c>
      <c r="C50" t="s">
        <v>101</v>
      </c>
      <c r="D50" t="s">
        <v>110</v>
      </c>
      <c r="E50" t="s">
        <v>49</v>
      </c>
      <c r="F50" s="5">
        <v>48.5</v>
      </c>
      <c r="G50" t="s">
        <v>35</v>
      </c>
      <c r="H50" s="5">
        <v>1056.0999999999999</v>
      </c>
      <c r="I50" s="5">
        <v>138.58000000000001</v>
      </c>
      <c r="J50" s="5">
        <v>20.97</v>
      </c>
      <c r="K50" s="5">
        <v>117.61</v>
      </c>
      <c r="L50" s="5">
        <v>35</v>
      </c>
      <c r="M50" s="5">
        <v>1.2672346800000001</v>
      </c>
      <c r="N50" s="6"/>
      <c r="O50" s="6"/>
      <c r="P50" s="7" t="str">
        <f t="shared" si="2"/>
        <v/>
      </c>
      <c r="Q50" s="6"/>
      <c r="R50" s="7" t="str">
        <f t="shared" si="3"/>
        <v/>
      </c>
      <c r="S50" s="8"/>
      <c r="T50" s="8"/>
      <c r="U50" s="8"/>
      <c r="V50" s="8"/>
      <c r="W50" s="8"/>
    </row>
    <row r="51" spans="1:23" x14ac:dyDescent="0.25">
      <c r="A51" t="s">
        <v>30</v>
      </c>
      <c r="B51" t="s">
        <v>100</v>
      </c>
      <c r="C51" t="s">
        <v>101</v>
      </c>
      <c r="D51" t="s">
        <v>111</v>
      </c>
      <c r="E51" t="s">
        <v>51</v>
      </c>
      <c r="F51" s="5">
        <v>66.5</v>
      </c>
      <c r="G51" t="s">
        <v>35</v>
      </c>
      <c r="H51" s="5">
        <v>1041.3</v>
      </c>
      <c r="I51" s="5">
        <v>100.45</v>
      </c>
      <c r="J51" s="5">
        <v>11.13</v>
      </c>
      <c r="K51" s="5">
        <v>89.320000000000007</v>
      </c>
      <c r="L51" s="5">
        <v>14</v>
      </c>
      <c r="M51" s="5">
        <v>1.6129721699999999</v>
      </c>
      <c r="N51" s="6"/>
      <c r="O51" s="6"/>
      <c r="P51" s="7" t="str">
        <f t="shared" si="2"/>
        <v/>
      </c>
      <c r="Q51" s="6"/>
      <c r="R51" s="7" t="str">
        <f t="shared" si="3"/>
        <v/>
      </c>
      <c r="S51" s="8"/>
      <c r="T51" s="8"/>
      <c r="U51" s="8"/>
      <c r="V51" s="8"/>
      <c r="W51" s="8"/>
    </row>
    <row r="52" spans="1:23" x14ac:dyDescent="0.25">
      <c r="A52" t="s">
        <v>30</v>
      </c>
      <c r="B52" t="s">
        <v>100</v>
      </c>
      <c r="C52" t="s">
        <v>101</v>
      </c>
      <c r="D52" t="s">
        <v>112</v>
      </c>
      <c r="E52" t="s">
        <v>53</v>
      </c>
      <c r="F52" s="5">
        <v>69</v>
      </c>
      <c r="G52" t="s">
        <v>35</v>
      </c>
      <c r="H52" s="5">
        <v>1039.5999999999999</v>
      </c>
      <c r="I52" s="5">
        <v>103.95</v>
      </c>
      <c r="J52" s="5">
        <v>10.36</v>
      </c>
      <c r="K52" s="5">
        <v>93.59</v>
      </c>
      <c r="L52" s="5">
        <v>17</v>
      </c>
      <c r="M52" s="5">
        <v>1.5297750000000001</v>
      </c>
      <c r="N52" s="6"/>
      <c r="O52" s="6"/>
      <c r="P52" s="7" t="str">
        <f t="shared" si="2"/>
        <v/>
      </c>
      <c r="Q52" s="6"/>
      <c r="R52" s="7" t="str">
        <f t="shared" si="3"/>
        <v/>
      </c>
      <c r="S52" s="8"/>
      <c r="T52" s="8"/>
      <c r="U52" s="8"/>
      <c r="V52" s="8"/>
      <c r="W52" s="8"/>
    </row>
    <row r="53" spans="1:23" x14ac:dyDescent="0.25">
      <c r="A53" t="s">
        <v>30</v>
      </c>
      <c r="B53" t="s">
        <v>100</v>
      </c>
      <c r="C53" t="s">
        <v>101</v>
      </c>
      <c r="D53" t="s">
        <v>113</v>
      </c>
      <c r="E53" t="s">
        <v>55</v>
      </c>
      <c r="F53" s="5">
        <v>72.5</v>
      </c>
      <c r="G53" t="s">
        <v>35</v>
      </c>
      <c r="H53" s="5">
        <v>1049.0999999999999</v>
      </c>
      <c r="I53" s="5">
        <v>125.47</v>
      </c>
      <c r="J53" s="5">
        <v>34.1</v>
      </c>
      <c r="K53" s="5">
        <v>91.37</v>
      </c>
      <c r="L53" s="5">
        <v>15</v>
      </c>
      <c r="M53" s="5">
        <v>1.4308866</v>
      </c>
      <c r="N53" s="6"/>
      <c r="O53" s="6"/>
      <c r="P53" s="7" t="str">
        <f t="shared" si="2"/>
        <v/>
      </c>
      <c r="Q53" s="6"/>
      <c r="R53" s="7" t="str">
        <f t="shared" si="3"/>
        <v/>
      </c>
      <c r="S53" s="8"/>
      <c r="T53" s="8"/>
      <c r="U53" s="8"/>
      <c r="V53" s="8"/>
      <c r="W53" s="8"/>
    </row>
    <row r="54" spans="1:23" x14ac:dyDescent="0.25">
      <c r="A54" t="s">
        <v>30</v>
      </c>
      <c r="B54" t="s">
        <v>100</v>
      </c>
      <c r="C54" t="s">
        <v>101</v>
      </c>
      <c r="D54" t="s">
        <v>114</v>
      </c>
      <c r="E54" t="s">
        <v>57</v>
      </c>
      <c r="F54" s="5">
        <v>90.5</v>
      </c>
      <c r="G54" t="s">
        <v>35</v>
      </c>
      <c r="H54" s="5">
        <v>1037.2</v>
      </c>
      <c r="I54" s="5">
        <v>105.78</v>
      </c>
      <c r="J54" s="5">
        <v>27.41</v>
      </c>
      <c r="K54" s="5">
        <v>78.37</v>
      </c>
      <c r="L54" s="5">
        <v>0</v>
      </c>
      <c r="M54" s="5">
        <v>1.5137842500000001</v>
      </c>
      <c r="N54" s="6"/>
      <c r="O54" s="6"/>
      <c r="P54" s="7" t="str">
        <f t="shared" si="2"/>
        <v/>
      </c>
      <c r="Q54" s="6"/>
      <c r="R54" s="7" t="str">
        <f t="shared" si="3"/>
        <v/>
      </c>
      <c r="S54" s="8"/>
      <c r="T54" s="8"/>
      <c r="U54" s="8"/>
      <c r="V54" s="8"/>
      <c r="W54" s="8"/>
    </row>
    <row r="55" spans="1:23" x14ac:dyDescent="0.25">
      <c r="A55" t="s">
        <v>30</v>
      </c>
      <c r="B55" t="s">
        <v>100</v>
      </c>
      <c r="C55" t="s">
        <v>101</v>
      </c>
      <c r="D55" t="s">
        <v>115</v>
      </c>
      <c r="E55" t="s">
        <v>59</v>
      </c>
      <c r="F55" s="5">
        <v>92.5</v>
      </c>
      <c r="G55" t="s">
        <v>35</v>
      </c>
      <c r="H55" s="5">
        <v>1036.5</v>
      </c>
      <c r="I55" s="5">
        <v>104.06</v>
      </c>
      <c r="J55" s="5">
        <v>26.69</v>
      </c>
      <c r="K55" s="5">
        <v>77.37</v>
      </c>
      <c r="L55" s="5">
        <v>1</v>
      </c>
      <c r="M55" s="5">
        <v>1.4171256000000001</v>
      </c>
      <c r="N55" s="6"/>
      <c r="O55" s="6"/>
      <c r="P55" s="7" t="str">
        <f t="shared" si="2"/>
        <v/>
      </c>
      <c r="Q55" s="6"/>
      <c r="R55" s="7" t="str">
        <f t="shared" si="3"/>
        <v/>
      </c>
      <c r="S55" s="8"/>
      <c r="T55" s="8"/>
      <c r="U55" s="8"/>
      <c r="V55" s="8"/>
      <c r="W55" s="8"/>
    </row>
    <row r="56" spans="1:23" x14ac:dyDescent="0.25">
      <c r="A56" t="s">
        <v>30</v>
      </c>
      <c r="B56" t="s">
        <v>100</v>
      </c>
      <c r="C56" t="s">
        <v>101</v>
      </c>
      <c r="D56" t="s">
        <v>116</v>
      </c>
      <c r="E56" t="s">
        <v>61</v>
      </c>
      <c r="F56" s="5">
        <v>96.5</v>
      </c>
      <c r="G56" t="s">
        <v>35</v>
      </c>
      <c r="H56" s="5">
        <v>1034.5</v>
      </c>
      <c r="I56" s="5">
        <v>97.81</v>
      </c>
      <c r="J56" s="5">
        <v>24.41</v>
      </c>
      <c r="K56" s="5">
        <v>73.400000000000006</v>
      </c>
      <c r="L56" s="5">
        <v>0</v>
      </c>
      <c r="M56" s="5">
        <v>1.4446323000000001</v>
      </c>
      <c r="N56" s="6"/>
      <c r="O56" s="6"/>
      <c r="P56" s="7" t="str">
        <f t="shared" si="2"/>
        <v/>
      </c>
      <c r="Q56" s="6"/>
      <c r="R56" s="7" t="str">
        <f t="shared" si="3"/>
        <v/>
      </c>
      <c r="S56" s="8"/>
      <c r="T56" s="8"/>
      <c r="U56" s="8"/>
      <c r="V56" s="8"/>
      <c r="W56" s="8"/>
    </row>
    <row r="57" spans="1:23" x14ac:dyDescent="0.25">
      <c r="A57" t="s">
        <v>30</v>
      </c>
      <c r="B57" t="s">
        <v>100</v>
      </c>
      <c r="C57" t="s">
        <v>101</v>
      </c>
      <c r="D57" t="s">
        <v>117</v>
      </c>
      <c r="E57" t="s">
        <v>63</v>
      </c>
      <c r="F57" s="5">
        <v>162.5</v>
      </c>
      <c r="G57" t="s">
        <v>35</v>
      </c>
      <c r="H57" s="5">
        <v>1002.7</v>
      </c>
      <c r="I57" s="5">
        <v>30.96</v>
      </c>
      <c r="J57" s="5">
        <v>1.83</v>
      </c>
      <c r="K57" s="5">
        <v>29.13</v>
      </c>
      <c r="L57" s="5">
        <v>0</v>
      </c>
      <c r="M57" s="5">
        <v>1.2578982000000001</v>
      </c>
      <c r="N57" s="6"/>
      <c r="O57" s="6"/>
      <c r="P57" s="7" t="str">
        <f t="shared" si="2"/>
        <v/>
      </c>
      <c r="Q57" s="6"/>
      <c r="R57" s="7" t="str">
        <f t="shared" si="3"/>
        <v/>
      </c>
      <c r="S57" s="8"/>
      <c r="T57" s="8"/>
      <c r="U57" s="8"/>
      <c r="V57" s="8"/>
      <c r="W57" s="8"/>
    </row>
    <row r="58" spans="1:23" x14ac:dyDescent="0.25">
      <c r="A58" t="s">
        <v>30</v>
      </c>
      <c r="B58" t="s">
        <v>100</v>
      </c>
      <c r="C58" t="s">
        <v>101</v>
      </c>
      <c r="D58" t="s">
        <v>118</v>
      </c>
      <c r="E58" t="s">
        <v>65</v>
      </c>
      <c r="F58" s="5">
        <v>168.5</v>
      </c>
      <c r="G58" t="s">
        <v>35</v>
      </c>
      <c r="H58" s="5">
        <v>1001</v>
      </c>
      <c r="I58" s="5">
        <v>27.52</v>
      </c>
      <c r="J58" s="5">
        <v>1.1000000000000001</v>
      </c>
      <c r="K58" s="5">
        <v>26.42</v>
      </c>
      <c r="L58" s="5">
        <v>0</v>
      </c>
      <c r="M58" s="5">
        <v>1.168245</v>
      </c>
      <c r="N58" s="6"/>
      <c r="O58" s="6"/>
      <c r="P58" s="7" t="str">
        <f t="shared" si="2"/>
        <v/>
      </c>
      <c r="Q58" s="6"/>
      <c r="R58" s="7" t="str">
        <f t="shared" si="3"/>
        <v/>
      </c>
      <c r="S58" s="8"/>
      <c r="T58" s="8"/>
      <c r="U58" s="8"/>
      <c r="V58" s="8"/>
      <c r="W58" s="8"/>
    </row>
    <row r="59" spans="1:23" x14ac:dyDescent="0.25">
      <c r="A59" t="s">
        <v>30</v>
      </c>
      <c r="B59" t="s">
        <v>100</v>
      </c>
      <c r="C59" t="s">
        <v>101</v>
      </c>
      <c r="D59" t="s">
        <v>119</v>
      </c>
      <c r="E59" t="s">
        <v>67</v>
      </c>
      <c r="F59" s="5">
        <v>186.5</v>
      </c>
      <c r="G59" t="s">
        <v>35</v>
      </c>
      <c r="H59" s="5">
        <v>998.3</v>
      </c>
      <c r="I59" s="5"/>
      <c r="J59" s="5">
        <v>2.64</v>
      </c>
      <c r="K59" s="5"/>
      <c r="L59" s="5">
        <v>1</v>
      </c>
      <c r="M59" s="5">
        <v>0.94012092000000003</v>
      </c>
      <c r="N59" s="6"/>
      <c r="O59" s="6"/>
      <c r="P59" s="7" t="str">
        <f t="shared" si="2"/>
        <v/>
      </c>
      <c r="Q59" s="6"/>
      <c r="R59" s="7" t="str">
        <f t="shared" si="3"/>
        <v/>
      </c>
      <c r="S59" s="8"/>
      <c r="T59" s="8"/>
      <c r="U59" s="8"/>
      <c r="V59" s="8"/>
      <c r="W59" s="8"/>
    </row>
    <row r="60" spans="1:23" x14ac:dyDescent="0.25">
      <c r="A60" t="s">
        <v>30</v>
      </c>
      <c r="B60" t="s">
        <v>100</v>
      </c>
      <c r="C60" t="s">
        <v>101</v>
      </c>
      <c r="D60" t="s">
        <v>120</v>
      </c>
      <c r="E60" t="s">
        <v>69</v>
      </c>
      <c r="F60" s="5">
        <v>192.5</v>
      </c>
      <c r="G60" t="s">
        <v>35</v>
      </c>
      <c r="H60" s="5">
        <v>998.7</v>
      </c>
      <c r="I60" s="5">
        <v>18.260000000000002</v>
      </c>
      <c r="J60" s="5">
        <v>3.98</v>
      </c>
      <c r="K60" s="5">
        <v>14.28</v>
      </c>
      <c r="L60" s="5"/>
      <c r="M60" s="5">
        <v>1.0208196</v>
      </c>
      <c r="N60" s="6"/>
      <c r="O60" s="6"/>
      <c r="P60" s="7" t="str">
        <f t="shared" si="2"/>
        <v/>
      </c>
      <c r="Q60" s="6"/>
      <c r="R60" s="7" t="str">
        <f t="shared" si="3"/>
        <v/>
      </c>
      <c r="S60" s="8"/>
      <c r="T60" s="8"/>
      <c r="U60" s="8"/>
      <c r="V60" s="8"/>
      <c r="W60" s="8"/>
    </row>
    <row r="61" spans="1:23" x14ac:dyDescent="0.25">
      <c r="A61" t="s">
        <v>30</v>
      </c>
      <c r="B61" t="s">
        <v>100</v>
      </c>
      <c r="C61" t="s">
        <v>101</v>
      </c>
      <c r="D61" t="s">
        <v>121</v>
      </c>
      <c r="E61" t="s">
        <v>71</v>
      </c>
      <c r="F61" s="5">
        <v>211.5</v>
      </c>
      <c r="G61" t="s">
        <v>35</v>
      </c>
      <c r="H61" s="5">
        <v>993.7</v>
      </c>
      <c r="I61" s="5">
        <v>13.71</v>
      </c>
      <c r="J61" s="5">
        <v>1.3</v>
      </c>
      <c r="K61" s="5">
        <v>12.41</v>
      </c>
      <c r="L61" s="5">
        <v>4</v>
      </c>
      <c r="M61" s="5">
        <v>0.75345158999999995</v>
      </c>
      <c r="N61" s="6"/>
      <c r="O61" s="6"/>
      <c r="P61" s="7" t="str">
        <f t="shared" si="2"/>
        <v/>
      </c>
      <c r="Q61" s="6"/>
      <c r="R61" s="7" t="str">
        <f t="shared" si="3"/>
        <v/>
      </c>
      <c r="S61" s="8"/>
      <c r="T61" s="8"/>
      <c r="U61" s="8"/>
      <c r="V61" s="8"/>
      <c r="W61" s="8"/>
    </row>
  </sheetData>
  <autoFilter ref="A1:W61" xr:uid="{00000000-0009-0000-0000-000001000000}"/>
  <dataValidations count="1">
    <dataValidation type="list" allowBlank="1" sqref="V2:V61" xr:uid="{00000000-0002-0000-01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"/>
  <sheetViews>
    <sheetView workbookViewId="0">
      <pane ySplit="1" topLeftCell="A2" activePane="bottomLeft" state="frozen"/>
      <selection pane="bottomLeft" activeCell="N20" sqref="N20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42" customWidth="1"/>
    <col min="4" max="4" width="18" customWidth="1"/>
    <col min="5" max="5" width="18" hidden="1" customWidth="1"/>
    <col min="6" max="6" width="10" hidden="1" customWidth="1"/>
    <col min="7" max="7" width="26" hidden="1" customWidth="1"/>
    <col min="8" max="8" width="12" hidden="1" customWidth="1"/>
    <col min="9" max="9" width="14" hidden="1" customWidth="1"/>
    <col min="10" max="11" width="12" hidden="1" customWidth="1"/>
    <col min="12" max="12" width="14" hidden="1" customWidth="1"/>
    <col min="13" max="13" width="12" hidden="1" customWidth="1"/>
    <col min="14" max="16" width="18" customWidth="1"/>
    <col min="17" max="17" width="16" customWidth="1"/>
    <col min="18" max="18" width="18" customWidth="1"/>
    <col min="19" max="19" width="24" customWidth="1"/>
    <col min="20" max="20" width="18" customWidth="1"/>
    <col min="21" max="21" width="16" customWidth="1"/>
    <col min="22" max="22" width="14" customWidth="1"/>
    <col min="23" max="23" width="30" customWidth="1"/>
  </cols>
  <sheetData>
    <row r="1" spans="1:23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3" t="s">
        <v>20</v>
      </c>
      <c r="O1" s="3" t="s">
        <v>21</v>
      </c>
      <c r="P1" s="4" t="s">
        <v>22</v>
      </c>
      <c r="Q1" s="3" t="s">
        <v>23</v>
      </c>
      <c r="R1" s="4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5">
        <v>0</v>
      </c>
      <c r="G2" t="s">
        <v>35</v>
      </c>
      <c r="H2" s="5">
        <v>1094.7</v>
      </c>
      <c r="I2" s="5">
        <v>237.2</v>
      </c>
      <c r="J2" s="5">
        <v>105.52</v>
      </c>
      <c r="K2" s="5">
        <v>131.68</v>
      </c>
      <c r="L2" s="5">
        <v>312</v>
      </c>
      <c r="M2" s="5">
        <v>0.10494692999999999</v>
      </c>
      <c r="N2" s="6">
        <v>0.05</v>
      </c>
      <c r="O2" s="6"/>
      <c r="P2" s="7">
        <f t="shared" ref="P2:P20" si="0">IF(COUNTA(N2:O2)=0,"",AVERAGE(N2:O2))</f>
        <v>0.05</v>
      </c>
      <c r="Q2" s="6"/>
      <c r="R2" s="7">
        <f t="shared" ref="R2:R20" si="1">IF(Q2&lt;&gt;"",Q2,IF(P2&lt;&gt;"",P2*7.89,""))</f>
        <v>0.39450000000000002</v>
      </c>
      <c r="S2" s="8"/>
      <c r="T2" s="8" t="s">
        <v>122</v>
      </c>
      <c r="U2" s="8"/>
      <c r="V2" s="8"/>
      <c r="W2" s="8"/>
    </row>
    <row r="3" spans="1:23" x14ac:dyDescent="0.25">
      <c r="A3" t="s">
        <v>30</v>
      </c>
      <c r="B3" t="s">
        <v>31</v>
      </c>
      <c r="C3" t="s">
        <v>32</v>
      </c>
      <c r="D3" t="s">
        <v>36</v>
      </c>
      <c r="E3" t="s">
        <v>37</v>
      </c>
      <c r="F3" s="5">
        <v>17</v>
      </c>
      <c r="G3" t="s">
        <v>35</v>
      </c>
      <c r="H3" s="5">
        <v>1090.9000000000001</v>
      </c>
      <c r="I3" s="5">
        <v>229.83</v>
      </c>
      <c r="J3" s="5">
        <v>97.54</v>
      </c>
      <c r="K3" s="5">
        <v>132.29</v>
      </c>
      <c r="L3" s="5">
        <v>292</v>
      </c>
      <c r="M3" s="5">
        <v>0.18544266000000001</v>
      </c>
      <c r="N3" s="6">
        <v>0.82</v>
      </c>
      <c r="O3" s="6"/>
      <c r="P3" s="7">
        <f t="shared" si="0"/>
        <v>0.82</v>
      </c>
      <c r="Q3" s="6"/>
      <c r="R3" s="7">
        <f t="shared" si="1"/>
        <v>6.4697999999999993</v>
      </c>
      <c r="S3" s="8"/>
      <c r="T3" s="8" t="s">
        <v>122</v>
      </c>
      <c r="U3" s="8"/>
      <c r="V3" s="8"/>
      <c r="W3" s="8"/>
    </row>
    <row r="4" spans="1:23" x14ac:dyDescent="0.25">
      <c r="A4" t="s">
        <v>30</v>
      </c>
      <c r="B4" t="s">
        <v>31</v>
      </c>
      <c r="C4" t="s">
        <v>32</v>
      </c>
      <c r="D4" t="s">
        <v>38</v>
      </c>
      <c r="E4" t="s">
        <v>39</v>
      </c>
      <c r="F4" s="5">
        <v>20.5</v>
      </c>
      <c r="G4" t="s">
        <v>35</v>
      </c>
      <c r="H4" s="5">
        <v>1089</v>
      </c>
      <c r="I4" s="5">
        <v>217.23</v>
      </c>
      <c r="J4" s="5">
        <v>93.4</v>
      </c>
      <c r="K4" s="5">
        <v>123.83</v>
      </c>
      <c r="L4" s="5">
        <v>270</v>
      </c>
      <c r="M4" s="5">
        <v>0.29612159999999998</v>
      </c>
      <c r="N4" s="6"/>
      <c r="O4" s="6"/>
      <c r="P4" s="7" t="str">
        <f t="shared" si="0"/>
        <v/>
      </c>
      <c r="Q4" s="6"/>
      <c r="R4" s="7" t="str">
        <f t="shared" si="1"/>
        <v/>
      </c>
      <c r="S4" s="8"/>
      <c r="T4" s="8" t="s">
        <v>122</v>
      </c>
      <c r="U4" s="8"/>
      <c r="V4" s="8"/>
      <c r="W4" s="8"/>
    </row>
    <row r="5" spans="1:23" x14ac:dyDescent="0.25">
      <c r="A5" t="s">
        <v>30</v>
      </c>
      <c r="B5" t="s">
        <v>31</v>
      </c>
      <c r="C5" t="s">
        <v>32</v>
      </c>
      <c r="D5" t="s">
        <v>40</v>
      </c>
      <c r="E5" t="s">
        <v>41</v>
      </c>
      <c r="F5" s="5">
        <v>23</v>
      </c>
      <c r="G5" t="s">
        <v>35</v>
      </c>
      <c r="H5" s="5">
        <v>1087</v>
      </c>
      <c r="I5" s="5">
        <v>200.35</v>
      </c>
      <c r="J5" s="5">
        <v>85.94</v>
      </c>
      <c r="K5" s="5">
        <v>114.41</v>
      </c>
      <c r="L5" s="5">
        <v>252</v>
      </c>
      <c r="M5" s="5">
        <v>0.21779712000000001</v>
      </c>
      <c r="N5" s="6"/>
      <c r="O5" s="6"/>
      <c r="P5" s="7" t="str">
        <f t="shared" si="0"/>
        <v/>
      </c>
      <c r="Q5" s="6"/>
      <c r="R5" s="7" t="str">
        <f t="shared" si="1"/>
        <v/>
      </c>
      <c r="S5" s="8"/>
      <c r="T5" s="8" t="s">
        <v>122</v>
      </c>
      <c r="U5" s="8"/>
      <c r="V5" s="8"/>
      <c r="W5" s="8"/>
    </row>
    <row r="6" spans="1:23" x14ac:dyDescent="0.25">
      <c r="A6" t="s">
        <v>30</v>
      </c>
      <c r="B6" t="s">
        <v>31</v>
      </c>
      <c r="C6" t="s">
        <v>32</v>
      </c>
      <c r="D6" t="s">
        <v>42</v>
      </c>
      <c r="E6" t="s">
        <v>43</v>
      </c>
      <c r="F6" s="5">
        <v>25</v>
      </c>
      <c r="G6" t="s">
        <v>35</v>
      </c>
      <c r="H6" s="5">
        <v>1085.0999999999999</v>
      </c>
      <c r="I6" s="5">
        <v>182.54</v>
      </c>
      <c r="J6" s="5">
        <v>77.19</v>
      </c>
      <c r="K6" s="5">
        <v>105.35</v>
      </c>
      <c r="L6" s="5">
        <v>222</v>
      </c>
      <c r="M6" s="5">
        <v>0.40773641999999999</v>
      </c>
      <c r="N6" s="6">
        <v>1.18</v>
      </c>
      <c r="O6" s="6"/>
      <c r="P6" s="7">
        <f t="shared" si="0"/>
        <v>1.18</v>
      </c>
      <c r="Q6" s="6"/>
      <c r="R6" s="7">
        <f t="shared" si="1"/>
        <v>9.3101999999999983</v>
      </c>
      <c r="S6" s="8"/>
      <c r="T6" s="8" t="s">
        <v>122</v>
      </c>
      <c r="U6" s="8"/>
      <c r="V6" s="8"/>
      <c r="W6" s="8"/>
    </row>
    <row r="7" spans="1:23" x14ac:dyDescent="0.25">
      <c r="A7" t="s">
        <v>30</v>
      </c>
      <c r="B7" t="s">
        <v>31</v>
      </c>
      <c r="C7" t="s">
        <v>32</v>
      </c>
      <c r="D7" t="s">
        <v>44</v>
      </c>
      <c r="E7" t="s">
        <v>45</v>
      </c>
      <c r="F7" s="5">
        <v>42.5</v>
      </c>
      <c r="G7" t="s">
        <v>35</v>
      </c>
      <c r="H7" s="5">
        <v>1074.4000000000001</v>
      </c>
      <c r="I7" s="5">
        <v>181.07</v>
      </c>
      <c r="J7" s="5">
        <v>73.36</v>
      </c>
      <c r="K7" s="5">
        <v>107.71</v>
      </c>
      <c r="L7" s="5">
        <v>154</v>
      </c>
      <c r="M7" s="5">
        <v>0.96539189999999997</v>
      </c>
      <c r="N7" s="6">
        <v>2.62</v>
      </c>
      <c r="O7" s="6"/>
      <c r="P7" s="7">
        <f t="shared" si="0"/>
        <v>2.62</v>
      </c>
      <c r="Q7" s="6"/>
      <c r="R7" s="7">
        <f t="shared" si="1"/>
        <v>20.671800000000001</v>
      </c>
      <c r="S7" s="8"/>
      <c r="T7" s="8" t="s">
        <v>122</v>
      </c>
      <c r="U7" s="8"/>
      <c r="V7" s="8"/>
      <c r="W7" s="8"/>
    </row>
    <row r="8" spans="1:23" x14ac:dyDescent="0.25">
      <c r="A8" t="s">
        <v>30</v>
      </c>
      <c r="B8" t="s">
        <v>31</v>
      </c>
      <c r="C8" t="s">
        <v>32</v>
      </c>
      <c r="D8" t="s">
        <v>46</v>
      </c>
      <c r="E8" t="s">
        <v>47</v>
      </c>
      <c r="F8" s="5">
        <v>45</v>
      </c>
      <c r="G8" t="s">
        <v>35</v>
      </c>
      <c r="H8" s="5">
        <v>1073.4000000000001</v>
      </c>
      <c r="I8" s="5">
        <v>180.26</v>
      </c>
      <c r="J8" s="5">
        <v>71.89</v>
      </c>
      <c r="K8" s="5">
        <v>108.37</v>
      </c>
      <c r="L8" s="5">
        <v>134</v>
      </c>
      <c r="M8" s="5">
        <v>0.84228101999999994</v>
      </c>
      <c r="N8" s="6">
        <v>3.19</v>
      </c>
      <c r="O8" s="6"/>
      <c r="P8" s="7">
        <f t="shared" si="0"/>
        <v>3.19</v>
      </c>
      <c r="Q8" s="6"/>
      <c r="R8" s="7">
        <f t="shared" si="1"/>
        <v>25.1691</v>
      </c>
      <c r="S8" s="8"/>
      <c r="T8" s="8" t="s">
        <v>122</v>
      </c>
      <c r="U8" s="8"/>
      <c r="V8" s="8"/>
      <c r="W8" s="8"/>
    </row>
    <row r="9" spans="1:23" x14ac:dyDescent="0.25">
      <c r="A9" t="s">
        <v>30</v>
      </c>
      <c r="B9" t="s">
        <v>31</v>
      </c>
      <c r="C9" t="s">
        <v>32</v>
      </c>
      <c r="D9" t="s">
        <v>48</v>
      </c>
      <c r="E9" t="s">
        <v>49</v>
      </c>
      <c r="F9" s="5">
        <v>48.5</v>
      </c>
      <c r="G9" t="s">
        <v>35</v>
      </c>
      <c r="H9" s="5">
        <v>1067.7</v>
      </c>
      <c r="I9" s="5">
        <v>171.54</v>
      </c>
      <c r="J9" s="5">
        <v>68.599999999999994</v>
      </c>
      <c r="K9" s="5">
        <v>102.94</v>
      </c>
      <c r="L9" s="5">
        <v>114</v>
      </c>
      <c r="M9" s="5">
        <v>1.4953247999999999</v>
      </c>
      <c r="N9" s="6"/>
      <c r="O9" s="6"/>
      <c r="P9" s="7" t="str">
        <f t="shared" si="0"/>
        <v/>
      </c>
      <c r="Q9" s="6"/>
      <c r="R9" s="7" t="str">
        <f t="shared" si="1"/>
        <v/>
      </c>
      <c r="S9" s="8"/>
      <c r="T9" s="8" t="s">
        <v>122</v>
      </c>
      <c r="U9" s="8"/>
      <c r="V9" s="8"/>
      <c r="W9" s="8"/>
    </row>
    <row r="10" spans="1:23" x14ac:dyDescent="0.25">
      <c r="A10" t="s">
        <v>30</v>
      </c>
      <c r="B10" t="s">
        <v>31</v>
      </c>
      <c r="C10" t="s">
        <v>32</v>
      </c>
      <c r="D10" t="s">
        <v>50</v>
      </c>
      <c r="E10" t="s">
        <v>51</v>
      </c>
      <c r="F10" s="5">
        <v>66.5</v>
      </c>
      <c r="G10" t="s">
        <v>35</v>
      </c>
      <c r="H10" s="5">
        <v>1053.9000000000001</v>
      </c>
      <c r="I10" s="5">
        <v>143.80000000000001</v>
      </c>
      <c r="J10" s="5">
        <v>50.92</v>
      </c>
      <c r="K10" s="5">
        <v>92.88</v>
      </c>
      <c r="L10" s="5">
        <v>52</v>
      </c>
      <c r="M10" s="5">
        <v>2.0782484399999999</v>
      </c>
      <c r="N10" s="6">
        <v>5.16</v>
      </c>
      <c r="O10" s="6"/>
      <c r="P10" s="7">
        <f t="shared" si="0"/>
        <v>5.16</v>
      </c>
      <c r="Q10" s="6"/>
      <c r="R10" s="7">
        <f t="shared" si="1"/>
        <v>40.712400000000002</v>
      </c>
      <c r="S10" s="8"/>
      <c r="T10" s="8" t="s">
        <v>122</v>
      </c>
      <c r="U10" s="8"/>
      <c r="V10" s="8"/>
      <c r="W10" s="8"/>
    </row>
    <row r="11" spans="1:23" x14ac:dyDescent="0.25">
      <c r="A11" t="s">
        <v>30</v>
      </c>
      <c r="B11" t="s">
        <v>31</v>
      </c>
      <c r="C11" t="s">
        <v>32</v>
      </c>
      <c r="D11" t="s">
        <v>52</v>
      </c>
      <c r="E11" t="s">
        <v>53</v>
      </c>
      <c r="F11" s="5">
        <v>69</v>
      </c>
      <c r="G11" t="s">
        <v>35</v>
      </c>
      <c r="H11" s="5">
        <v>1053.0999999999999</v>
      </c>
      <c r="I11" s="5">
        <v>136.56</v>
      </c>
      <c r="J11" s="5">
        <v>47.38</v>
      </c>
      <c r="K11" s="5">
        <v>89.18</v>
      </c>
      <c r="L11" s="5">
        <v>50</v>
      </c>
      <c r="M11" s="5">
        <v>1.6796263499999999</v>
      </c>
      <c r="N11" s="6"/>
      <c r="O11" s="6"/>
      <c r="P11" s="7" t="str">
        <f t="shared" si="0"/>
        <v/>
      </c>
      <c r="Q11" s="6"/>
      <c r="R11" s="7" t="str">
        <f t="shared" si="1"/>
        <v/>
      </c>
      <c r="S11" s="8"/>
      <c r="T11" s="8" t="s">
        <v>122</v>
      </c>
      <c r="U11" s="8"/>
      <c r="V11" s="8"/>
      <c r="W11" s="8"/>
    </row>
    <row r="12" spans="1:23" x14ac:dyDescent="0.25">
      <c r="A12" t="s">
        <v>30</v>
      </c>
      <c r="B12" t="s">
        <v>31</v>
      </c>
      <c r="C12" t="s">
        <v>32</v>
      </c>
      <c r="D12" t="s">
        <v>54</v>
      </c>
      <c r="E12" t="s">
        <v>55</v>
      </c>
      <c r="F12" s="5">
        <v>72.5</v>
      </c>
      <c r="G12" t="s">
        <v>35</v>
      </c>
      <c r="H12" s="5">
        <v>1049.4000000000001</v>
      </c>
      <c r="I12" s="5">
        <v>130.04</v>
      </c>
      <c r="J12" s="5">
        <v>43.2</v>
      </c>
      <c r="K12" s="5">
        <v>86.839999999999989</v>
      </c>
      <c r="L12" s="5">
        <v>45</v>
      </c>
      <c r="M12" s="5">
        <v>1.8110097599999999</v>
      </c>
      <c r="N12" s="6">
        <v>5.72</v>
      </c>
      <c r="O12" s="6"/>
      <c r="P12" s="7">
        <f t="shared" si="0"/>
        <v>5.72</v>
      </c>
      <c r="Q12" s="6"/>
      <c r="R12" s="7">
        <f t="shared" si="1"/>
        <v>45.130799999999994</v>
      </c>
      <c r="S12" s="8"/>
      <c r="T12" s="8" t="s">
        <v>122</v>
      </c>
      <c r="U12" s="8"/>
      <c r="V12" s="8"/>
      <c r="W12" s="8"/>
    </row>
    <row r="13" spans="1:23" x14ac:dyDescent="0.25">
      <c r="A13" t="s">
        <v>30</v>
      </c>
      <c r="B13" t="s">
        <v>31</v>
      </c>
      <c r="C13" t="s">
        <v>32</v>
      </c>
      <c r="D13" t="s">
        <v>56</v>
      </c>
      <c r="E13" t="s">
        <v>57</v>
      </c>
      <c r="F13" s="5">
        <v>90.5</v>
      </c>
      <c r="G13" t="s">
        <v>35</v>
      </c>
      <c r="H13" s="5">
        <v>1037.7</v>
      </c>
      <c r="I13" s="5">
        <v>104.47</v>
      </c>
      <c r="J13" s="5">
        <v>31.06</v>
      </c>
      <c r="K13" s="5">
        <v>73.41</v>
      </c>
      <c r="L13" s="5">
        <v>1</v>
      </c>
      <c r="M13" s="5">
        <v>1.6705242</v>
      </c>
      <c r="N13" s="6">
        <v>6.3</v>
      </c>
      <c r="O13" s="6"/>
      <c r="P13" s="7">
        <f t="shared" si="0"/>
        <v>6.3</v>
      </c>
      <c r="Q13" s="6"/>
      <c r="R13" s="7">
        <f t="shared" si="1"/>
        <v>49.706999999999994</v>
      </c>
      <c r="S13" s="8"/>
      <c r="T13" s="8" t="s">
        <v>122</v>
      </c>
      <c r="U13" s="8"/>
      <c r="V13" s="8"/>
      <c r="W13" s="8"/>
    </row>
    <row r="14" spans="1:23" x14ac:dyDescent="0.25">
      <c r="A14" t="s">
        <v>30</v>
      </c>
      <c r="B14" t="s">
        <v>31</v>
      </c>
      <c r="C14" t="s">
        <v>32</v>
      </c>
      <c r="D14" t="s">
        <v>58</v>
      </c>
      <c r="E14" t="s">
        <v>59</v>
      </c>
      <c r="F14" s="5">
        <v>92.5</v>
      </c>
      <c r="G14" t="s">
        <v>35</v>
      </c>
      <c r="H14" s="5">
        <v>1037.4000000000001</v>
      </c>
      <c r="I14" s="5">
        <v>101.78</v>
      </c>
      <c r="J14" s="5">
        <v>30.64</v>
      </c>
      <c r="K14" s="5">
        <v>71.14</v>
      </c>
      <c r="L14" s="5">
        <v>1</v>
      </c>
      <c r="M14" s="5">
        <v>1.92636378</v>
      </c>
      <c r="N14" s="6"/>
      <c r="O14" s="6"/>
      <c r="P14" s="7" t="str">
        <f t="shared" si="0"/>
        <v/>
      </c>
      <c r="Q14" s="6"/>
      <c r="R14" s="7" t="str">
        <f t="shared" si="1"/>
        <v/>
      </c>
      <c r="S14" s="8"/>
      <c r="T14" s="8" t="s">
        <v>122</v>
      </c>
      <c r="U14" s="8"/>
      <c r="V14" s="8"/>
      <c r="W14" s="8"/>
    </row>
    <row r="15" spans="1:23" x14ac:dyDescent="0.25">
      <c r="A15" t="s">
        <v>30</v>
      </c>
      <c r="B15" t="s">
        <v>31</v>
      </c>
      <c r="C15" t="s">
        <v>32</v>
      </c>
      <c r="D15" t="s">
        <v>60</v>
      </c>
      <c r="E15" t="s">
        <v>61</v>
      </c>
      <c r="F15" s="5">
        <v>96.5</v>
      </c>
      <c r="G15" t="s">
        <v>35</v>
      </c>
      <c r="H15" s="5">
        <v>1035.9000000000001</v>
      </c>
      <c r="I15" s="5">
        <v>102.2</v>
      </c>
      <c r="J15" s="5">
        <v>29.85</v>
      </c>
      <c r="K15" s="5">
        <v>72.349999999999994</v>
      </c>
      <c r="L15" s="5">
        <v>2</v>
      </c>
      <c r="M15" s="5">
        <v>1.74881106</v>
      </c>
      <c r="N15" s="6">
        <v>7.57</v>
      </c>
      <c r="O15" s="6"/>
      <c r="P15" s="7">
        <f t="shared" si="0"/>
        <v>7.57</v>
      </c>
      <c r="Q15" s="6"/>
      <c r="R15" s="7">
        <f t="shared" si="1"/>
        <v>59.7273</v>
      </c>
      <c r="S15" s="8"/>
      <c r="T15" s="8" t="s">
        <v>122</v>
      </c>
      <c r="U15" s="8"/>
      <c r="V15" s="8"/>
      <c r="W15" s="8"/>
    </row>
    <row r="16" spans="1:23" x14ac:dyDescent="0.25">
      <c r="A16" t="s">
        <v>30</v>
      </c>
      <c r="B16" t="s">
        <v>31</v>
      </c>
      <c r="C16" t="s">
        <v>32</v>
      </c>
      <c r="D16" t="s">
        <v>62</v>
      </c>
      <c r="E16" t="s">
        <v>63</v>
      </c>
      <c r="F16" s="5">
        <v>162.5</v>
      </c>
      <c r="G16" t="s">
        <v>35</v>
      </c>
      <c r="H16" s="5">
        <v>1005.3</v>
      </c>
      <c r="I16" s="5">
        <v>37.840000000000003</v>
      </c>
      <c r="J16" s="5">
        <v>4.43</v>
      </c>
      <c r="K16" s="5">
        <v>33.409999999999997</v>
      </c>
      <c r="L16" s="5">
        <v>14</v>
      </c>
      <c r="M16" s="5">
        <v>1.7373542399999999</v>
      </c>
      <c r="N16" s="6">
        <v>11.47</v>
      </c>
      <c r="O16" s="6"/>
      <c r="P16" s="7">
        <f t="shared" si="0"/>
        <v>11.47</v>
      </c>
      <c r="Q16" s="6"/>
      <c r="R16" s="7">
        <f t="shared" si="1"/>
        <v>90.4983</v>
      </c>
      <c r="S16" s="8"/>
      <c r="T16" s="8" t="s">
        <v>122</v>
      </c>
      <c r="U16" s="8"/>
      <c r="V16" s="8"/>
      <c r="W16" s="8"/>
    </row>
    <row r="17" spans="1:23" x14ac:dyDescent="0.25">
      <c r="A17" t="s">
        <v>30</v>
      </c>
      <c r="B17" t="s">
        <v>31</v>
      </c>
      <c r="C17" t="s">
        <v>32</v>
      </c>
      <c r="D17" t="s">
        <v>64</v>
      </c>
      <c r="E17" t="s">
        <v>65</v>
      </c>
      <c r="F17" s="5">
        <v>168.5</v>
      </c>
      <c r="G17" t="s">
        <v>35</v>
      </c>
      <c r="H17" s="5">
        <v>1003.9</v>
      </c>
      <c r="I17" s="5">
        <v>33.97</v>
      </c>
      <c r="J17" s="5">
        <v>3.33</v>
      </c>
      <c r="K17" s="5">
        <v>30.64</v>
      </c>
      <c r="L17" s="5">
        <v>13</v>
      </c>
      <c r="M17" s="5">
        <v>1.63814298</v>
      </c>
      <c r="N17" s="6">
        <v>11.75</v>
      </c>
      <c r="O17" s="6"/>
      <c r="P17" s="7">
        <f t="shared" si="0"/>
        <v>11.75</v>
      </c>
      <c r="Q17" s="6"/>
      <c r="R17" s="7">
        <f t="shared" si="1"/>
        <v>92.707499999999996</v>
      </c>
      <c r="S17" s="8"/>
      <c r="T17" s="8" t="s">
        <v>122</v>
      </c>
      <c r="U17" s="8"/>
      <c r="V17" s="8"/>
      <c r="W17" s="8"/>
    </row>
    <row r="18" spans="1:23" x14ac:dyDescent="0.25">
      <c r="A18" t="s">
        <v>30</v>
      </c>
      <c r="B18" t="s">
        <v>31</v>
      </c>
      <c r="C18" t="s">
        <v>32</v>
      </c>
      <c r="D18" t="s">
        <v>66</v>
      </c>
      <c r="E18" t="s">
        <v>67</v>
      </c>
      <c r="F18" s="5">
        <v>186.5</v>
      </c>
      <c r="G18" t="s">
        <v>35</v>
      </c>
      <c r="H18" s="5">
        <v>998.8</v>
      </c>
      <c r="I18" s="5">
        <v>21.1</v>
      </c>
      <c r="J18" s="5">
        <v>3.41</v>
      </c>
      <c r="K18" s="5">
        <v>17.690000000000001</v>
      </c>
      <c r="L18" s="5">
        <v>12</v>
      </c>
      <c r="M18" s="5">
        <v>1.5367775400000001</v>
      </c>
      <c r="N18" s="6"/>
      <c r="O18" s="6"/>
      <c r="P18" s="7" t="str">
        <f t="shared" si="0"/>
        <v/>
      </c>
      <c r="Q18" s="6"/>
      <c r="R18" s="7" t="str">
        <f t="shared" si="1"/>
        <v/>
      </c>
      <c r="S18" s="8"/>
      <c r="T18" s="8" t="s">
        <v>122</v>
      </c>
      <c r="U18" s="8"/>
      <c r="V18" s="8"/>
      <c r="W18" s="8"/>
    </row>
    <row r="19" spans="1:23" x14ac:dyDescent="0.25">
      <c r="A19" t="s">
        <v>30</v>
      </c>
      <c r="B19" t="s">
        <v>31</v>
      </c>
      <c r="C19" t="s">
        <v>32</v>
      </c>
      <c r="D19" t="s">
        <v>68</v>
      </c>
      <c r="E19" t="s">
        <v>69</v>
      </c>
      <c r="F19" s="5">
        <v>192.5</v>
      </c>
      <c r="G19" t="s">
        <v>35</v>
      </c>
      <c r="H19" s="5">
        <v>997.8</v>
      </c>
      <c r="I19" s="5">
        <v>16.260000000000002</v>
      </c>
      <c r="J19" s="5">
        <v>2.71</v>
      </c>
      <c r="K19" s="5">
        <v>13.55</v>
      </c>
      <c r="L19" s="5"/>
      <c r="M19" s="5">
        <v>1.53733608</v>
      </c>
      <c r="N19" s="6"/>
      <c r="O19" s="6"/>
      <c r="P19" s="7" t="str">
        <f t="shared" si="0"/>
        <v/>
      </c>
      <c r="Q19" s="6"/>
      <c r="R19" s="7" t="str">
        <f t="shared" si="1"/>
        <v/>
      </c>
      <c r="S19" s="8"/>
      <c r="T19" s="8" t="s">
        <v>122</v>
      </c>
      <c r="U19" s="8"/>
      <c r="V19" s="8"/>
      <c r="W19" s="8"/>
    </row>
    <row r="20" spans="1:23" x14ac:dyDescent="0.25">
      <c r="A20" t="s">
        <v>30</v>
      </c>
      <c r="B20" t="s">
        <v>31</v>
      </c>
      <c r="C20" t="s">
        <v>32</v>
      </c>
      <c r="D20" t="s">
        <v>70</v>
      </c>
      <c r="E20" t="s">
        <v>71</v>
      </c>
      <c r="F20" s="5">
        <v>211.5</v>
      </c>
      <c r="G20" t="s">
        <v>35</v>
      </c>
      <c r="H20" s="5">
        <v>993.9</v>
      </c>
      <c r="I20" s="5">
        <v>13.73</v>
      </c>
      <c r="J20" s="5">
        <v>1.41</v>
      </c>
      <c r="K20" s="5">
        <v>12.32</v>
      </c>
      <c r="L20" s="5">
        <v>28</v>
      </c>
      <c r="M20" s="5">
        <v>1.17032487</v>
      </c>
      <c r="N20" s="6">
        <v>12.93</v>
      </c>
      <c r="O20" s="6"/>
      <c r="P20" s="7">
        <f t="shared" si="0"/>
        <v>12.93</v>
      </c>
      <c r="Q20" s="6"/>
      <c r="R20" s="7">
        <f t="shared" si="1"/>
        <v>102.01769999999999</v>
      </c>
      <c r="S20" s="8"/>
      <c r="T20" s="8" t="s">
        <v>122</v>
      </c>
      <c r="U20" s="8"/>
      <c r="V20" s="8"/>
      <c r="W20" s="8"/>
    </row>
  </sheetData>
  <autoFilter ref="A1:W20" xr:uid="{00000000-0009-0000-0000-000002000000}"/>
  <dataValidations count="1">
    <dataValidation type="list" allowBlank="1" sqref="V2:V20" xr:uid="{00000000-0002-0000-02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3"/>
  <sheetViews>
    <sheetView topLeftCell="D1" workbookViewId="0">
      <pane ySplit="1" topLeftCell="A3" activePane="bottomLeft" state="frozen"/>
      <selection pane="bottomLeft" activeCell="N24" sqref="N24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42" customWidth="1"/>
    <col min="4" max="5" width="18" customWidth="1"/>
    <col min="6" max="6" width="10" customWidth="1"/>
    <col min="7" max="7" width="26" customWidth="1"/>
    <col min="8" max="8" width="12" customWidth="1"/>
    <col min="9" max="9" width="14" customWidth="1"/>
    <col min="10" max="11" width="12" customWidth="1"/>
    <col min="12" max="12" width="14" customWidth="1"/>
    <col min="13" max="13" width="12" customWidth="1"/>
    <col min="14" max="16" width="18" customWidth="1"/>
    <col min="17" max="17" width="16" customWidth="1"/>
    <col min="18" max="18" width="18" customWidth="1"/>
    <col min="19" max="19" width="24" customWidth="1"/>
    <col min="20" max="20" width="18" customWidth="1"/>
    <col min="21" max="21" width="16" customWidth="1"/>
    <col min="22" max="22" width="14" customWidth="1"/>
    <col min="23" max="23" width="30" customWidth="1"/>
  </cols>
  <sheetData>
    <row r="1" spans="1:23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3" t="s">
        <v>20</v>
      </c>
      <c r="O1" s="3" t="s">
        <v>21</v>
      </c>
      <c r="P1" s="4" t="s">
        <v>22</v>
      </c>
      <c r="Q1" s="3" t="s">
        <v>23</v>
      </c>
      <c r="R1" s="4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25">
      <c r="A2" t="s">
        <v>30</v>
      </c>
      <c r="B2" t="s">
        <v>72</v>
      </c>
      <c r="C2" t="s">
        <v>73</v>
      </c>
      <c r="D2" t="s">
        <v>74</v>
      </c>
      <c r="E2" t="s">
        <v>34</v>
      </c>
      <c r="F2" s="5">
        <v>0</v>
      </c>
      <c r="G2" t="s">
        <v>35</v>
      </c>
      <c r="H2" s="5">
        <v>1059.0999999999999</v>
      </c>
      <c r="I2" s="5">
        <v>143.94</v>
      </c>
      <c r="J2" s="5">
        <v>62.17</v>
      </c>
      <c r="K2" s="5">
        <v>81.77</v>
      </c>
      <c r="L2" s="5">
        <v>37</v>
      </c>
      <c r="M2" s="5">
        <v>1.0946511000000001</v>
      </c>
      <c r="N2" s="6">
        <v>1.31</v>
      </c>
      <c r="O2" s="6"/>
      <c r="P2" s="7">
        <f t="shared" ref="P2:P23" si="0">IF(COUNTA(N2:O2)=0,"",AVERAGE(N2:O2))</f>
        <v>1.31</v>
      </c>
      <c r="Q2" s="6"/>
      <c r="R2" s="7">
        <f t="shared" ref="R2:R23" si="1">IF(Q2&lt;&gt;"",Q2,IF(P2&lt;&gt;"",P2*7.89,""))</f>
        <v>10.335900000000001</v>
      </c>
      <c r="S2" s="8"/>
      <c r="T2" s="8"/>
      <c r="U2" s="8"/>
      <c r="V2" s="8"/>
      <c r="W2" s="8"/>
    </row>
    <row r="3" spans="1:23" x14ac:dyDescent="0.25">
      <c r="A3" t="s">
        <v>30</v>
      </c>
      <c r="B3" t="s">
        <v>72</v>
      </c>
      <c r="C3" t="s">
        <v>73</v>
      </c>
      <c r="D3" t="s">
        <v>75</v>
      </c>
      <c r="E3" t="s">
        <v>37</v>
      </c>
      <c r="F3" s="5">
        <v>17</v>
      </c>
      <c r="G3" t="s">
        <v>35</v>
      </c>
      <c r="H3" s="5">
        <v>1051.4000000000001</v>
      </c>
      <c r="I3" s="5">
        <v>131.24</v>
      </c>
      <c r="J3" s="5">
        <v>55.23</v>
      </c>
      <c r="K3" s="5">
        <v>76.010000000000019</v>
      </c>
      <c r="L3" s="5">
        <v>10</v>
      </c>
      <c r="M3" s="5">
        <v>1.4608011000000001</v>
      </c>
      <c r="N3" s="6">
        <v>1.89</v>
      </c>
      <c r="O3" s="6"/>
      <c r="P3" s="7">
        <f t="shared" si="0"/>
        <v>1.89</v>
      </c>
      <c r="Q3" s="6"/>
      <c r="R3" s="7">
        <f t="shared" si="1"/>
        <v>14.912099999999999</v>
      </c>
      <c r="S3" s="8"/>
      <c r="T3" s="8"/>
      <c r="U3" s="8"/>
      <c r="V3" s="8"/>
      <c r="W3" s="8"/>
    </row>
    <row r="4" spans="1:23" x14ac:dyDescent="0.25">
      <c r="A4" t="s">
        <v>30</v>
      </c>
      <c r="B4" t="s">
        <v>72</v>
      </c>
      <c r="C4" t="s">
        <v>73</v>
      </c>
      <c r="D4" t="s">
        <v>76</v>
      </c>
      <c r="E4" t="s">
        <v>39</v>
      </c>
      <c r="F4" s="5">
        <v>20.5</v>
      </c>
      <c r="G4" t="s">
        <v>35</v>
      </c>
      <c r="H4" s="5">
        <v>1051.7</v>
      </c>
      <c r="I4" s="5">
        <v>129.16999999999999</v>
      </c>
      <c r="J4" s="5">
        <v>52.25</v>
      </c>
      <c r="K4" s="5">
        <v>76.919999999999987</v>
      </c>
      <c r="L4" s="5">
        <v>15</v>
      </c>
      <c r="M4" s="5">
        <v>1.7120063999999999</v>
      </c>
      <c r="N4" s="6"/>
      <c r="O4" s="6"/>
      <c r="P4" s="7" t="str">
        <f t="shared" si="0"/>
        <v/>
      </c>
      <c r="Q4" s="6"/>
      <c r="R4" s="7" t="str">
        <f t="shared" si="1"/>
        <v/>
      </c>
      <c r="S4" s="8"/>
      <c r="T4" s="8"/>
      <c r="U4" s="8"/>
      <c r="V4" s="8"/>
      <c r="W4" s="8"/>
    </row>
    <row r="5" spans="1:23" x14ac:dyDescent="0.25">
      <c r="A5" t="s">
        <v>30</v>
      </c>
      <c r="B5" t="s">
        <v>72</v>
      </c>
      <c r="C5" t="s">
        <v>73</v>
      </c>
      <c r="D5" t="s">
        <v>77</v>
      </c>
      <c r="E5" t="s">
        <v>41</v>
      </c>
      <c r="F5" s="5">
        <v>23</v>
      </c>
      <c r="G5" t="s">
        <v>35</v>
      </c>
      <c r="H5" s="5">
        <v>1052.8</v>
      </c>
      <c r="I5" s="5">
        <v>113.05</v>
      </c>
      <c r="J5" s="5">
        <v>52.35</v>
      </c>
      <c r="K5" s="5">
        <v>60.7</v>
      </c>
      <c r="L5" s="5">
        <v>16</v>
      </c>
      <c r="M5" s="5">
        <v>1.6289730600000001</v>
      </c>
      <c r="N5" s="6"/>
      <c r="O5" s="6"/>
      <c r="P5" s="7" t="str">
        <f t="shared" si="0"/>
        <v/>
      </c>
      <c r="Q5" s="6"/>
      <c r="R5" s="7" t="str">
        <f t="shared" si="1"/>
        <v/>
      </c>
      <c r="S5" s="8"/>
      <c r="T5" s="8"/>
      <c r="U5" s="8"/>
      <c r="V5" s="8"/>
      <c r="W5" s="8"/>
    </row>
    <row r="6" spans="1:23" x14ac:dyDescent="0.25">
      <c r="A6" t="s">
        <v>30</v>
      </c>
      <c r="B6" t="s">
        <v>72</v>
      </c>
      <c r="C6" t="s">
        <v>73</v>
      </c>
      <c r="D6" t="s">
        <v>78</v>
      </c>
      <c r="E6" t="s">
        <v>43</v>
      </c>
      <c r="F6" s="5">
        <v>25</v>
      </c>
      <c r="G6" t="s">
        <v>35</v>
      </c>
      <c r="H6" s="5">
        <v>1049.5999999999999</v>
      </c>
      <c r="I6" s="5">
        <v>126.83</v>
      </c>
      <c r="J6" s="5">
        <v>53.77</v>
      </c>
      <c r="K6" s="5">
        <v>73.06</v>
      </c>
      <c r="L6" s="5">
        <v>10</v>
      </c>
      <c r="M6" s="5">
        <v>1.4722755599999999</v>
      </c>
      <c r="N6" s="6">
        <v>2.13</v>
      </c>
      <c r="O6" s="6"/>
      <c r="P6" s="7">
        <f t="shared" si="0"/>
        <v>2.13</v>
      </c>
      <c r="Q6" s="6"/>
      <c r="R6" s="7">
        <f t="shared" si="1"/>
        <v>16.805699999999998</v>
      </c>
      <c r="S6" s="8"/>
      <c r="T6" s="8"/>
      <c r="U6" s="8"/>
      <c r="V6" s="8"/>
      <c r="W6" s="8"/>
    </row>
    <row r="7" spans="1:23" x14ac:dyDescent="0.25">
      <c r="A7" t="s">
        <v>30</v>
      </c>
      <c r="B7" t="s">
        <v>72</v>
      </c>
      <c r="C7" t="s">
        <v>73</v>
      </c>
      <c r="D7" t="s">
        <v>79</v>
      </c>
      <c r="E7" t="s">
        <v>45</v>
      </c>
      <c r="F7" s="5">
        <v>42.5</v>
      </c>
      <c r="G7" t="s">
        <v>35</v>
      </c>
      <c r="H7" s="5">
        <v>1046.2</v>
      </c>
      <c r="I7" s="5">
        <v>117.04</v>
      </c>
      <c r="J7" s="5">
        <v>47.87</v>
      </c>
      <c r="K7" s="5">
        <v>69.170000000000016</v>
      </c>
      <c r="L7" s="5">
        <v>0</v>
      </c>
      <c r="M7" s="5">
        <v>1.8547515000000001</v>
      </c>
      <c r="N7" s="6">
        <v>2.6</v>
      </c>
      <c r="O7" s="6"/>
      <c r="P7" s="7">
        <f t="shared" si="0"/>
        <v>2.6</v>
      </c>
      <c r="Q7" s="6"/>
      <c r="R7" s="7">
        <f t="shared" si="1"/>
        <v>20.513999999999999</v>
      </c>
      <c r="S7" s="8"/>
      <c r="T7" s="8"/>
      <c r="U7" s="8"/>
      <c r="V7" s="8"/>
      <c r="W7" s="8"/>
    </row>
    <row r="8" spans="1:23" x14ac:dyDescent="0.25">
      <c r="A8" t="s">
        <v>30</v>
      </c>
      <c r="B8" t="s">
        <v>72</v>
      </c>
      <c r="C8" t="s">
        <v>73</v>
      </c>
      <c r="D8" t="s">
        <v>80</v>
      </c>
      <c r="E8" t="s">
        <v>47</v>
      </c>
      <c r="F8" s="5">
        <v>45</v>
      </c>
      <c r="G8" t="s">
        <v>35</v>
      </c>
      <c r="H8" s="5">
        <v>1046.2</v>
      </c>
      <c r="I8" s="5">
        <v>118.5</v>
      </c>
      <c r="J8" s="5">
        <v>47.35</v>
      </c>
      <c r="K8" s="5">
        <v>71.150000000000006</v>
      </c>
      <c r="L8" s="5">
        <v>0</v>
      </c>
      <c r="M8" s="5">
        <v>1.93798125</v>
      </c>
      <c r="N8" s="6">
        <v>2.74</v>
      </c>
      <c r="O8" s="6"/>
      <c r="P8" s="7">
        <f t="shared" si="0"/>
        <v>2.74</v>
      </c>
      <c r="Q8" s="6"/>
      <c r="R8" s="7">
        <f t="shared" si="1"/>
        <v>21.618600000000001</v>
      </c>
      <c r="S8" s="8"/>
      <c r="T8" s="8"/>
      <c r="U8" s="8"/>
      <c r="V8" s="8"/>
      <c r="W8" s="8"/>
    </row>
    <row r="9" spans="1:23" x14ac:dyDescent="0.25">
      <c r="A9" t="s">
        <v>30</v>
      </c>
      <c r="B9" t="s">
        <v>72</v>
      </c>
      <c r="C9" t="s">
        <v>73</v>
      </c>
      <c r="D9" t="s">
        <v>81</v>
      </c>
      <c r="E9" t="s">
        <v>49</v>
      </c>
      <c r="F9" s="5">
        <v>48.5</v>
      </c>
      <c r="G9" t="s">
        <v>35</v>
      </c>
      <c r="H9" s="5">
        <v>1054.7</v>
      </c>
      <c r="I9" s="5">
        <v>140.1</v>
      </c>
      <c r="J9" s="5">
        <v>67.08</v>
      </c>
      <c r="K9" s="5">
        <v>73.02</v>
      </c>
      <c r="L9" s="5">
        <v>2</v>
      </c>
      <c r="M9" s="5">
        <v>1.8893546400000001</v>
      </c>
      <c r="N9" s="6"/>
      <c r="O9" s="6"/>
      <c r="P9" s="7" t="str">
        <f t="shared" si="0"/>
        <v/>
      </c>
      <c r="Q9" s="6"/>
      <c r="R9" s="7" t="str">
        <f t="shared" si="1"/>
        <v/>
      </c>
      <c r="S9" s="8"/>
      <c r="T9" s="8"/>
      <c r="U9" s="8"/>
      <c r="V9" s="8"/>
      <c r="W9" s="8"/>
    </row>
    <row r="10" spans="1:23" x14ac:dyDescent="0.25">
      <c r="A10" t="s">
        <v>30</v>
      </c>
      <c r="B10" t="s">
        <v>72</v>
      </c>
      <c r="C10" t="s">
        <v>73</v>
      </c>
      <c r="D10" t="s">
        <v>82</v>
      </c>
      <c r="E10" t="s">
        <v>51</v>
      </c>
      <c r="F10" s="5">
        <v>66.5</v>
      </c>
      <c r="G10" t="s">
        <v>35</v>
      </c>
      <c r="H10" s="5">
        <v>1049.5999999999999</v>
      </c>
      <c r="I10" s="5">
        <v>127.93</v>
      </c>
      <c r="J10" s="5">
        <v>59.49</v>
      </c>
      <c r="K10" s="5">
        <v>68.44</v>
      </c>
      <c r="L10" s="5">
        <v>10</v>
      </c>
      <c r="M10" s="5">
        <v>2.5137086399999999</v>
      </c>
      <c r="N10" s="6">
        <v>3.21</v>
      </c>
      <c r="O10" s="6"/>
      <c r="P10" s="7">
        <f t="shared" si="0"/>
        <v>3.21</v>
      </c>
      <c r="Q10" s="6"/>
      <c r="R10" s="7">
        <f t="shared" si="1"/>
        <v>25.326899999999998</v>
      </c>
      <c r="S10" s="8"/>
      <c r="T10" s="8"/>
      <c r="U10" s="8"/>
      <c r="V10" s="8"/>
      <c r="W10" s="8"/>
    </row>
    <row r="11" spans="1:23" x14ac:dyDescent="0.25">
      <c r="A11" t="s">
        <v>30</v>
      </c>
      <c r="B11" t="s">
        <v>72</v>
      </c>
      <c r="C11" t="s">
        <v>73</v>
      </c>
      <c r="D11" t="s">
        <v>83</v>
      </c>
      <c r="E11" t="s">
        <v>53</v>
      </c>
      <c r="F11" s="5">
        <v>69</v>
      </c>
      <c r="G11" t="s">
        <v>35</v>
      </c>
      <c r="H11" s="5">
        <v>1049.5</v>
      </c>
      <c r="I11" s="5">
        <v>126.47</v>
      </c>
      <c r="J11" s="5">
        <v>60.44</v>
      </c>
      <c r="K11" s="5">
        <v>66.03</v>
      </c>
      <c r="L11" s="5">
        <v>8</v>
      </c>
      <c r="M11" s="5">
        <v>1.825029</v>
      </c>
      <c r="N11" s="6"/>
      <c r="O11" s="6"/>
      <c r="P11" s="7" t="str">
        <f t="shared" si="0"/>
        <v/>
      </c>
      <c r="Q11" s="6"/>
      <c r="R11" s="7" t="str">
        <f t="shared" si="1"/>
        <v/>
      </c>
      <c r="S11" s="8"/>
      <c r="T11" s="8"/>
      <c r="U11" s="8"/>
      <c r="V11" s="8"/>
      <c r="W11" s="8"/>
    </row>
    <row r="12" spans="1:23" x14ac:dyDescent="0.25">
      <c r="A12" t="s">
        <v>30</v>
      </c>
      <c r="B12" t="s">
        <v>72</v>
      </c>
      <c r="C12" t="s">
        <v>73</v>
      </c>
      <c r="D12" t="s">
        <v>84</v>
      </c>
      <c r="E12" t="s">
        <v>55</v>
      </c>
      <c r="F12" s="5">
        <v>72.5</v>
      </c>
      <c r="G12" t="s">
        <v>35</v>
      </c>
      <c r="H12" s="5">
        <v>1048.3</v>
      </c>
      <c r="I12" s="5">
        <v>123.45</v>
      </c>
      <c r="J12" s="5">
        <v>55.31</v>
      </c>
      <c r="K12" s="5">
        <v>68.14</v>
      </c>
      <c r="L12" s="5">
        <v>14</v>
      </c>
      <c r="M12" s="5">
        <v>2.0256011100000002</v>
      </c>
      <c r="N12" s="6">
        <v>3.5</v>
      </c>
      <c r="O12" s="6"/>
      <c r="P12" s="7">
        <f t="shared" si="0"/>
        <v>3.5</v>
      </c>
      <c r="Q12" s="6"/>
      <c r="R12" s="7">
        <f t="shared" si="1"/>
        <v>27.614999999999998</v>
      </c>
      <c r="S12" s="8"/>
      <c r="T12" s="8"/>
      <c r="U12" s="8"/>
      <c r="V12" s="8"/>
      <c r="W12" s="8"/>
    </row>
    <row r="13" spans="1:23" x14ac:dyDescent="0.25">
      <c r="A13" t="s">
        <v>30</v>
      </c>
      <c r="B13" t="s">
        <v>72</v>
      </c>
      <c r="C13" t="s">
        <v>73</v>
      </c>
      <c r="D13" t="s">
        <v>85</v>
      </c>
      <c r="E13" t="s">
        <v>57</v>
      </c>
      <c r="F13" s="5">
        <v>90.5</v>
      </c>
      <c r="G13" t="s">
        <v>35</v>
      </c>
      <c r="H13" s="5">
        <v>1042.4000000000001</v>
      </c>
      <c r="I13" s="5">
        <v>111.2</v>
      </c>
      <c r="J13" s="5">
        <v>48.98</v>
      </c>
      <c r="K13" s="5">
        <v>62.220000000000013</v>
      </c>
      <c r="L13" s="5">
        <v>0</v>
      </c>
      <c r="M13" s="5">
        <v>1.8041398200000001</v>
      </c>
      <c r="N13" s="6">
        <v>4.22</v>
      </c>
      <c r="O13" s="6"/>
      <c r="P13" s="7">
        <f t="shared" si="0"/>
        <v>4.22</v>
      </c>
      <c r="Q13" s="6"/>
      <c r="R13" s="7">
        <f t="shared" si="1"/>
        <v>33.2958</v>
      </c>
      <c r="S13" s="8"/>
      <c r="T13" s="8"/>
      <c r="U13" s="8"/>
      <c r="V13" s="8"/>
      <c r="W13" s="8"/>
    </row>
    <row r="14" spans="1:23" x14ac:dyDescent="0.25">
      <c r="A14" t="s">
        <v>30</v>
      </c>
      <c r="B14" t="s">
        <v>72</v>
      </c>
      <c r="C14" t="s">
        <v>73</v>
      </c>
      <c r="D14" t="s">
        <v>86</v>
      </c>
      <c r="E14" t="s">
        <v>59</v>
      </c>
      <c r="F14" s="5">
        <v>92.5</v>
      </c>
      <c r="G14" t="s">
        <v>35</v>
      </c>
      <c r="H14" s="5">
        <v>1041.9000000000001</v>
      </c>
      <c r="I14" s="5">
        <v>110.57</v>
      </c>
      <c r="J14" s="5">
        <v>49.71</v>
      </c>
      <c r="K14" s="5">
        <v>60.859999999999992</v>
      </c>
      <c r="L14" s="5">
        <v>0</v>
      </c>
      <c r="M14" s="5">
        <v>1.7719808399999999</v>
      </c>
      <c r="N14" s="6"/>
      <c r="O14" s="6"/>
      <c r="P14" s="7" t="str">
        <f t="shared" si="0"/>
        <v/>
      </c>
      <c r="Q14" s="6"/>
      <c r="R14" s="7" t="str">
        <f t="shared" si="1"/>
        <v/>
      </c>
      <c r="S14" s="8"/>
      <c r="T14" s="8"/>
      <c r="U14" s="8"/>
      <c r="V14" s="8"/>
      <c r="W14" s="8"/>
    </row>
    <row r="15" spans="1:23" x14ac:dyDescent="0.25">
      <c r="A15" t="s">
        <v>30</v>
      </c>
      <c r="B15" t="s">
        <v>72</v>
      </c>
      <c r="C15" t="s">
        <v>73</v>
      </c>
      <c r="D15" t="s">
        <v>87</v>
      </c>
      <c r="E15" t="s">
        <v>61</v>
      </c>
      <c r="F15" s="5">
        <v>96.5</v>
      </c>
      <c r="G15" t="s">
        <v>35</v>
      </c>
      <c r="H15" s="5">
        <v>1046.9000000000001</v>
      </c>
      <c r="I15" s="5">
        <v>125.65</v>
      </c>
      <c r="J15" s="5">
        <v>48.11</v>
      </c>
      <c r="K15" s="5">
        <v>77.540000000000006</v>
      </c>
      <c r="L15" s="5">
        <v>0</v>
      </c>
      <c r="M15" s="5">
        <v>1.7511301500000001</v>
      </c>
      <c r="N15" s="6">
        <v>4.4400000000000004</v>
      </c>
      <c r="O15" s="6"/>
      <c r="P15" s="7">
        <f t="shared" si="0"/>
        <v>4.4400000000000004</v>
      </c>
      <c r="Q15" s="6"/>
      <c r="R15" s="7">
        <f t="shared" si="1"/>
        <v>35.031600000000005</v>
      </c>
      <c r="S15" s="8"/>
      <c r="T15" s="8"/>
      <c r="U15" s="8"/>
      <c r="V15" s="8"/>
      <c r="W15" s="8"/>
    </row>
    <row r="16" spans="1:23" x14ac:dyDescent="0.25">
      <c r="A16" t="s">
        <v>30</v>
      </c>
      <c r="B16" t="s">
        <v>72</v>
      </c>
      <c r="C16" t="s">
        <v>73</v>
      </c>
      <c r="D16" t="s">
        <v>88</v>
      </c>
      <c r="E16" t="s">
        <v>63</v>
      </c>
      <c r="F16" s="5">
        <v>162.5</v>
      </c>
      <c r="G16" t="s">
        <v>35</v>
      </c>
      <c r="H16" s="5">
        <v>1031.9000000000001</v>
      </c>
      <c r="I16" s="5">
        <v>92.8</v>
      </c>
      <c r="J16" s="5">
        <v>27.22</v>
      </c>
      <c r="K16" s="5">
        <v>65.58</v>
      </c>
      <c r="L16" s="5">
        <v>0</v>
      </c>
      <c r="M16" s="5">
        <v>1.86863139</v>
      </c>
      <c r="N16" s="6">
        <v>6.63</v>
      </c>
      <c r="O16" s="6"/>
      <c r="P16" s="7">
        <f t="shared" si="0"/>
        <v>6.63</v>
      </c>
      <c r="Q16" s="6"/>
      <c r="R16" s="7">
        <f t="shared" si="1"/>
        <v>52.310699999999997</v>
      </c>
      <c r="S16" s="8"/>
      <c r="T16" s="8"/>
      <c r="U16" s="8"/>
      <c r="V16" s="8"/>
      <c r="W16" s="8"/>
    </row>
    <row r="17" spans="1:23" x14ac:dyDescent="0.25">
      <c r="A17" t="s">
        <v>30</v>
      </c>
      <c r="B17" t="s">
        <v>72</v>
      </c>
      <c r="C17" t="s">
        <v>73</v>
      </c>
      <c r="D17" t="s">
        <v>89</v>
      </c>
      <c r="E17" t="s">
        <v>65</v>
      </c>
      <c r="F17" s="5">
        <v>168.5</v>
      </c>
      <c r="G17" t="s">
        <v>35</v>
      </c>
      <c r="H17" s="5">
        <v>1030.2</v>
      </c>
      <c r="I17" s="5">
        <v>87.72</v>
      </c>
      <c r="J17" s="5">
        <v>25.11</v>
      </c>
      <c r="K17" s="5">
        <v>62.61</v>
      </c>
      <c r="L17" s="5">
        <v>0</v>
      </c>
      <c r="M17" s="5">
        <v>2.8640013600000001</v>
      </c>
      <c r="N17" s="6">
        <v>6.75</v>
      </c>
      <c r="O17" s="6"/>
      <c r="P17" s="7">
        <f t="shared" si="0"/>
        <v>6.75</v>
      </c>
      <c r="Q17" s="6"/>
      <c r="R17" s="7">
        <f t="shared" si="1"/>
        <v>53.2575</v>
      </c>
      <c r="S17" s="8"/>
      <c r="T17" s="8"/>
      <c r="U17" s="8"/>
      <c r="V17" s="8"/>
      <c r="W17" s="8"/>
    </row>
    <row r="18" spans="1:23" x14ac:dyDescent="0.25">
      <c r="A18" t="s">
        <v>30</v>
      </c>
      <c r="B18" t="s">
        <v>72</v>
      </c>
      <c r="C18" t="s">
        <v>73</v>
      </c>
      <c r="D18" t="s">
        <v>90</v>
      </c>
      <c r="E18" t="s">
        <v>67</v>
      </c>
      <c r="F18" s="5">
        <v>186.5</v>
      </c>
      <c r="G18" t="s">
        <v>35</v>
      </c>
      <c r="H18" s="5">
        <v>1026</v>
      </c>
      <c r="I18" s="5">
        <v>77.489999999999995</v>
      </c>
      <c r="J18" s="5"/>
      <c r="K18" s="5"/>
      <c r="L18" s="5">
        <v>0</v>
      </c>
      <c r="M18" s="5">
        <v>1.7651299499999999</v>
      </c>
      <c r="N18" s="6"/>
      <c r="O18" s="6"/>
      <c r="P18" s="7" t="str">
        <f t="shared" si="0"/>
        <v/>
      </c>
      <c r="Q18" s="6"/>
      <c r="R18" s="7" t="str">
        <f t="shared" si="1"/>
        <v/>
      </c>
      <c r="S18" s="8"/>
      <c r="T18" s="8"/>
      <c r="U18" s="8"/>
      <c r="V18" s="8"/>
      <c r="W18" s="8"/>
    </row>
    <row r="19" spans="1:23" x14ac:dyDescent="0.25">
      <c r="A19" t="s">
        <v>30</v>
      </c>
      <c r="B19" t="s">
        <v>72</v>
      </c>
      <c r="C19" t="s">
        <v>73</v>
      </c>
      <c r="D19" t="s">
        <v>91</v>
      </c>
      <c r="E19" t="s">
        <v>69</v>
      </c>
      <c r="F19" s="5">
        <v>192.5</v>
      </c>
      <c r="G19" t="s">
        <v>35</v>
      </c>
      <c r="H19" s="5">
        <v>1024.9000000000001</v>
      </c>
      <c r="I19" s="5">
        <v>71.77</v>
      </c>
      <c r="J19" s="5">
        <v>19.77</v>
      </c>
      <c r="K19" s="5">
        <v>52</v>
      </c>
      <c r="L19" s="5"/>
      <c r="M19" s="5">
        <v>1.7648870400000001</v>
      </c>
      <c r="N19" s="6"/>
      <c r="O19" s="6"/>
      <c r="P19" s="7" t="str">
        <f t="shared" si="0"/>
        <v/>
      </c>
      <c r="Q19" s="6"/>
      <c r="R19" s="7" t="str">
        <f t="shared" si="1"/>
        <v/>
      </c>
      <c r="S19" s="8"/>
      <c r="T19" s="8"/>
      <c r="U19" s="8"/>
      <c r="V19" s="8"/>
      <c r="W19" s="8"/>
    </row>
    <row r="20" spans="1:23" x14ac:dyDescent="0.25">
      <c r="A20" t="s">
        <v>30</v>
      </c>
      <c r="B20" t="s">
        <v>72</v>
      </c>
      <c r="C20" t="s">
        <v>73</v>
      </c>
      <c r="D20" t="s">
        <v>92</v>
      </c>
      <c r="E20" t="s">
        <v>71</v>
      </c>
      <c r="F20" s="5">
        <v>211.5</v>
      </c>
      <c r="G20" t="s">
        <v>35</v>
      </c>
      <c r="H20" s="5">
        <v>1022</v>
      </c>
      <c r="I20" s="5">
        <v>70.19</v>
      </c>
      <c r="J20" s="5">
        <v>16.91</v>
      </c>
      <c r="K20" s="5">
        <v>53.28</v>
      </c>
      <c r="L20" s="5">
        <v>2</v>
      </c>
      <c r="M20" s="5">
        <v>1.8269737500000001</v>
      </c>
      <c r="N20" s="6"/>
      <c r="O20" s="6"/>
      <c r="P20" s="7" t="str">
        <f t="shared" si="0"/>
        <v/>
      </c>
      <c r="Q20" s="6"/>
      <c r="R20" s="7" t="str">
        <f t="shared" si="1"/>
        <v/>
      </c>
      <c r="S20" s="8"/>
      <c r="T20" s="8"/>
      <c r="U20" s="8"/>
      <c r="V20" s="8"/>
      <c r="W20" s="8"/>
    </row>
    <row r="21" spans="1:23" x14ac:dyDescent="0.25">
      <c r="A21" t="s">
        <v>30</v>
      </c>
      <c r="B21" t="s">
        <v>72</v>
      </c>
      <c r="C21" t="s">
        <v>73</v>
      </c>
      <c r="D21" t="s">
        <v>93</v>
      </c>
      <c r="E21" t="s">
        <v>94</v>
      </c>
      <c r="F21" s="5">
        <v>240.5</v>
      </c>
      <c r="G21" t="s">
        <v>35</v>
      </c>
      <c r="H21" s="5">
        <v>1017.7</v>
      </c>
      <c r="I21" s="5">
        <v>68.03</v>
      </c>
      <c r="J21" s="5">
        <v>13.69</v>
      </c>
      <c r="K21" s="5">
        <v>54.34</v>
      </c>
      <c r="L21" s="5">
        <v>8</v>
      </c>
      <c r="M21" s="5">
        <v>1.61069175</v>
      </c>
      <c r="N21" s="6">
        <v>8.39</v>
      </c>
      <c r="O21" s="6"/>
      <c r="P21" s="7">
        <f t="shared" si="0"/>
        <v>8.39</v>
      </c>
      <c r="Q21" s="6"/>
      <c r="R21" s="7">
        <f t="shared" si="1"/>
        <v>66.197100000000006</v>
      </c>
      <c r="S21" s="8"/>
      <c r="T21" s="8"/>
      <c r="U21" s="8"/>
      <c r="V21" s="8"/>
      <c r="W21" s="8"/>
    </row>
    <row r="22" spans="1:23" x14ac:dyDescent="0.25">
      <c r="A22" t="s">
        <v>30</v>
      </c>
      <c r="B22" t="s">
        <v>72</v>
      </c>
      <c r="C22" t="s">
        <v>73</v>
      </c>
      <c r="D22" t="s">
        <v>95</v>
      </c>
      <c r="E22" t="s">
        <v>96</v>
      </c>
      <c r="F22" s="5">
        <v>260.5</v>
      </c>
      <c r="G22" t="s">
        <v>35</v>
      </c>
      <c r="H22" s="5">
        <v>1014.6</v>
      </c>
      <c r="I22" s="5">
        <v>55.13</v>
      </c>
      <c r="J22" s="5">
        <v>10.66</v>
      </c>
      <c r="K22" s="5">
        <v>44.47</v>
      </c>
      <c r="L22" s="5">
        <v>8</v>
      </c>
      <c r="M22" s="5">
        <v>1.6612516799999999</v>
      </c>
      <c r="N22" s="6">
        <v>8.76</v>
      </c>
      <c r="O22" s="6"/>
      <c r="P22" s="7">
        <f t="shared" si="0"/>
        <v>8.76</v>
      </c>
      <c r="Q22" s="6"/>
      <c r="R22" s="7">
        <f t="shared" si="1"/>
        <v>69.116399999999999</v>
      </c>
      <c r="S22" s="8"/>
      <c r="T22" s="8"/>
      <c r="U22" s="8"/>
      <c r="V22" s="8"/>
      <c r="W22" s="8"/>
    </row>
    <row r="23" spans="1:23" x14ac:dyDescent="0.25">
      <c r="A23" t="s">
        <v>30</v>
      </c>
      <c r="B23" t="s">
        <v>72</v>
      </c>
      <c r="C23" t="s">
        <v>73</v>
      </c>
      <c r="D23" t="s">
        <v>97</v>
      </c>
      <c r="E23" t="s">
        <v>98</v>
      </c>
      <c r="F23" s="5">
        <v>383.8</v>
      </c>
      <c r="G23" t="s">
        <v>99</v>
      </c>
      <c r="H23" s="5"/>
      <c r="I23" s="5">
        <v>26.8</v>
      </c>
      <c r="J23" s="5">
        <v>1.97</v>
      </c>
      <c r="K23" s="5">
        <v>24.83</v>
      </c>
      <c r="L23" s="5">
        <v>6</v>
      </c>
      <c r="M23" s="5"/>
      <c r="N23" s="6">
        <v>10.39</v>
      </c>
      <c r="O23" s="6"/>
      <c r="P23" s="7">
        <f t="shared" si="0"/>
        <v>10.39</v>
      </c>
      <c r="Q23" s="6"/>
      <c r="R23" s="7">
        <f t="shared" si="1"/>
        <v>81.977100000000007</v>
      </c>
      <c r="S23" s="8"/>
      <c r="T23" s="8"/>
      <c r="U23" s="8"/>
      <c r="V23" s="8"/>
      <c r="W23" s="8"/>
    </row>
  </sheetData>
  <autoFilter ref="A1:W23" xr:uid="{00000000-0009-0000-0000-000003000000}"/>
  <dataValidations count="1">
    <dataValidation type="list" allowBlank="1" sqref="V2:V23" xr:uid="{00000000-0002-0000-03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"/>
  <sheetViews>
    <sheetView tabSelected="1" workbookViewId="0">
      <pane ySplit="1" topLeftCell="A2" activePane="bottomLeft" state="frozen"/>
      <selection pane="bottomLeft" activeCell="N21" sqref="N21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42" customWidth="1"/>
    <col min="4" max="4" width="18" customWidth="1"/>
    <col min="5" max="5" width="18" hidden="1" customWidth="1"/>
    <col min="6" max="6" width="10" hidden="1" customWidth="1"/>
    <col min="7" max="7" width="26" hidden="1" customWidth="1"/>
    <col min="8" max="8" width="12" hidden="1" customWidth="1"/>
    <col min="9" max="9" width="14" hidden="1" customWidth="1"/>
    <col min="10" max="11" width="12" hidden="1" customWidth="1"/>
    <col min="12" max="12" width="14" hidden="1" customWidth="1"/>
    <col min="13" max="13" width="12" hidden="1" customWidth="1"/>
    <col min="14" max="16" width="18" customWidth="1"/>
    <col min="17" max="17" width="16" customWidth="1"/>
    <col min="18" max="18" width="18" customWidth="1"/>
    <col min="19" max="19" width="24" customWidth="1"/>
    <col min="20" max="20" width="18" customWidth="1"/>
    <col min="21" max="21" width="16" customWidth="1"/>
    <col min="22" max="22" width="14" customWidth="1"/>
    <col min="23" max="23" width="30" customWidth="1"/>
  </cols>
  <sheetData>
    <row r="1" spans="1:23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3" t="s">
        <v>20</v>
      </c>
      <c r="O1" s="3" t="s">
        <v>21</v>
      </c>
      <c r="P1" s="4" t="s">
        <v>22</v>
      </c>
      <c r="Q1" s="3" t="s">
        <v>23</v>
      </c>
      <c r="R1" s="4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25">
      <c r="A2" t="s">
        <v>30</v>
      </c>
      <c r="B2" t="s">
        <v>100</v>
      </c>
      <c r="C2" t="s">
        <v>101</v>
      </c>
      <c r="D2" t="s">
        <v>102</v>
      </c>
      <c r="E2" t="s">
        <v>34</v>
      </c>
      <c r="F2" s="5">
        <v>0</v>
      </c>
      <c r="G2" t="s">
        <v>35</v>
      </c>
      <c r="H2" s="5">
        <v>1075.0999999999999</v>
      </c>
      <c r="I2" s="5">
        <v>162.41999999999999</v>
      </c>
      <c r="J2" s="5">
        <v>30.13</v>
      </c>
      <c r="K2" s="5">
        <v>132.29</v>
      </c>
      <c r="L2" s="5">
        <v>189</v>
      </c>
      <c r="M2" s="5">
        <v>0.13253345999999999</v>
      </c>
      <c r="N2" s="6">
        <v>0.37</v>
      </c>
      <c r="O2" s="6"/>
      <c r="P2" s="7">
        <f t="shared" ref="P2:P20" si="0">IF(COUNTA(N2:O2)=0,"",AVERAGE(N2:O2))</f>
        <v>0.37</v>
      </c>
      <c r="Q2" s="6"/>
      <c r="R2" s="7">
        <f t="shared" ref="R2:R20" si="1">IF(Q2&lt;&gt;"",Q2,IF(P2&lt;&gt;"",P2*7.89,""))</f>
        <v>2.9192999999999998</v>
      </c>
      <c r="S2" s="8"/>
      <c r="T2" s="8"/>
      <c r="U2" s="8"/>
      <c r="V2" s="8"/>
      <c r="W2" s="8"/>
    </row>
    <row r="3" spans="1:23" x14ac:dyDescent="0.25">
      <c r="A3" t="s">
        <v>30</v>
      </c>
      <c r="B3" t="s">
        <v>100</v>
      </c>
      <c r="C3" t="s">
        <v>101</v>
      </c>
      <c r="D3" t="s">
        <v>103</v>
      </c>
      <c r="E3" t="s">
        <v>37</v>
      </c>
      <c r="F3" s="5">
        <v>17</v>
      </c>
      <c r="G3" t="s">
        <v>35</v>
      </c>
      <c r="H3" s="5">
        <v>1072.5</v>
      </c>
      <c r="I3" s="5">
        <v>148.94</v>
      </c>
      <c r="J3" s="5">
        <v>27.86</v>
      </c>
      <c r="K3" s="5">
        <v>121.08</v>
      </c>
      <c r="L3" s="5">
        <v>162</v>
      </c>
      <c r="M3" s="5">
        <v>0.2107723199999999</v>
      </c>
      <c r="N3" s="6">
        <v>0.68</v>
      </c>
      <c r="O3" s="6"/>
      <c r="P3" s="7">
        <f t="shared" si="0"/>
        <v>0.68</v>
      </c>
      <c r="Q3" s="6"/>
      <c r="R3" s="7">
        <f t="shared" si="1"/>
        <v>5.3651999999999997</v>
      </c>
      <c r="S3" s="8"/>
      <c r="T3" s="8"/>
      <c r="U3" s="8"/>
      <c r="V3" s="8"/>
      <c r="W3" s="8"/>
    </row>
    <row r="4" spans="1:23" x14ac:dyDescent="0.25">
      <c r="A4" t="s">
        <v>30</v>
      </c>
      <c r="B4" t="s">
        <v>100</v>
      </c>
      <c r="C4" t="s">
        <v>101</v>
      </c>
      <c r="D4" t="s">
        <v>104</v>
      </c>
      <c r="E4" t="s">
        <v>39</v>
      </c>
      <c r="F4" s="5">
        <v>20.5</v>
      </c>
      <c r="G4" t="s">
        <v>35</v>
      </c>
      <c r="H4" s="5">
        <v>1071.3</v>
      </c>
      <c r="I4" s="5">
        <v>169.43</v>
      </c>
      <c r="J4" s="5">
        <v>27.99</v>
      </c>
      <c r="K4" s="5">
        <v>141.44</v>
      </c>
      <c r="L4" s="5">
        <v>147</v>
      </c>
      <c r="M4" s="5">
        <v>0.24196575000000001</v>
      </c>
      <c r="N4" s="6"/>
      <c r="O4" s="6"/>
      <c r="P4" s="7" t="str">
        <f t="shared" si="0"/>
        <v/>
      </c>
      <c r="Q4" s="6"/>
      <c r="R4" s="7" t="str">
        <f t="shared" si="1"/>
        <v/>
      </c>
      <c r="S4" s="8"/>
      <c r="T4" s="8"/>
      <c r="U4" s="8"/>
      <c r="V4" s="8"/>
      <c r="W4" s="8"/>
    </row>
    <row r="5" spans="1:23" x14ac:dyDescent="0.25">
      <c r="A5" t="s">
        <v>30</v>
      </c>
      <c r="B5" t="s">
        <v>100</v>
      </c>
      <c r="C5" t="s">
        <v>101</v>
      </c>
      <c r="D5" t="s">
        <v>105</v>
      </c>
      <c r="E5" t="s">
        <v>41</v>
      </c>
      <c r="F5" s="5">
        <v>23</v>
      </c>
      <c r="G5" t="s">
        <v>35</v>
      </c>
      <c r="H5" s="5">
        <v>1069.5</v>
      </c>
      <c r="I5" s="5">
        <v>168.36</v>
      </c>
      <c r="J5" s="5">
        <v>26.01</v>
      </c>
      <c r="K5" s="5">
        <v>142.35</v>
      </c>
      <c r="L5" s="5">
        <v>132</v>
      </c>
      <c r="M5" s="5">
        <v>0.22009365</v>
      </c>
      <c r="N5" s="6"/>
      <c r="O5" s="6"/>
      <c r="P5" s="7" t="str">
        <f t="shared" si="0"/>
        <v/>
      </c>
      <c r="Q5" s="6"/>
      <c r="R5" s="7" t="str">
        <f t="shared" si="1"/>
        <v/>
      </c>
      <c r="S5" s="8"/>
      <c r="T5" s="8"/>
      <c r="U5" s="8"/>
      <c r="V5" s="8"/>
      <c r="W5" s="8"/>
    </row>
    <row r="6" spans="1:23" x14ac:dyDescent="0.25">
      <c r="A6" t="s">
        <v>30</v>
      </c>
      <c r="B6" t="s">
        <v>100</v>
      </c>
      <c r="C6" t="s">
        <v>101</v>
      </c>
      <c r="D6" t="s">
        <v>106</v>
      </c>
      <c r="E6" t="s">
        <v>43</v>
      </c>
      <c r="F6" s="5">
        <v>25</v>
      </c>
      <c r="G6" t="s">
        <v>107</v>
      </c>
      <c r="H6" s="5"/>
      <c r="I6" s="5">
        <v>169.38</v>
      </c>
      <c r="J6" s="5">
        <v>26.96</v>
      </c>
      <c r="K6" s="5">
        <v>142.41999999999999</v>
      </c>
      <c r="L6" s="5">
        <v>124</v>
      </c>
      <c r="M6" s="5"/>
      <c r="N6" s="6">
        <v>0.99</v>
      </c>
      <c r="O6" s="6"/>
      <c r="P6" s="7">
        <f t="shared" si="0"/>
        <v>0.99</v>
      </c>
      <c r="Q6" s="6"/>
      <c r="R6" s="7">
        <f t="shared" si="1"/>
        <v>7.8110999999999997</v>
      </c>
      <c r="S6" s="8"/>
      <c r="T6" s="8"/>
      <c r="U6" s="8"/>
      <c r="V6" s="8"/>
      <c r="W6" s="8"/>
    </row>
    <row r="7" spans="1:23" x14ac:dyDescent="0.25">
      <c r="A7" t="s">
        <v>30</v>
      </c>
      <c r="B7" t="s">
        <v>100</v>
      </c>
      <c r="C7" t="s">
        <v>101</v>
      </c>
      <c r="D7" t="s">
        <v>108</v>
      </c>
      <c r="E7" t="s">
        <v>45</v>
      </c>
      <c r="F7" s="5">
        <v>42.5</v>
      </c>
      <c r="G7" t="s">
        <v>35</v>
      </c>
      <c r="H7" s="5">
        <v>1060.4000000000001</v>
      </c>
      <c r="I7" s="5">
        <v>144.38</v>
      </c>
      <c r="J7" s="5">
        <v>19.87</v>
      </c>
      <c r="K7" s="5">
        <v>124.51</v>
      </c>
      <c r="L7" s="5">
        <v>55</v>
      </c>
      <c r="M7" s="5">
        <v>0.77194394999999993</v>
      </c>
      <c r="N7" s="6">
        <v>2.0099999999999998</v>
      </c>
      <c r="O7" s="6"/>
      <c r="P7" s="7">
        <f t="shared" si="0"/>
        <v>2.0099999999999998</v>
      </c>
      <c r="Q7" s="6"/>
      <c r="R7" s="7">
        <f t="shared" si="1"/>
        <v>15.858899999999998</v>
      </c>
      <c r="S7" s="8"/>
      <c r="T7" s="8"/>
      <c r="U7" s="8"/>
      <c r="V7" s="8"/>
      <c r="W7" s="8"/>
    </row>
    <row r="8" spans="1:23" x14ac:dyDescent="0.25">
      <c r="A8" t="s">
        <v>30</v>
      </c>
      <c r="B8" t="s">
        <v>100</v>
      </c>
      <c r="C8" t="s">
        <v>101</v>
      </c>
      <c r="D8" t="s">
        <v>109</v>
      </c>
      <c r="E8" t="s">
        <v>47</v>
      </c>
      <c r="F8" s="5">
        <v>45</v>
      </c>
      <c r="G8" t="s">
        <v>35</v>
      </c>
      <c r="H8" s="5">
        <v>1059.2</v>
      </c>
      <c r="I8" s="5"/>
      <c r="J8" s="5">
        <v>20.11</v>
      </c>
      <c r="K8" s="5"/>
      <c r="L8" s="5">
        <v>43</v>
      </c>
      <c r="M8" s="5">
        <v>0.98604756000000016</v>
      </c>
      <c r="N8" s="6">
        <v>2.52</v>
      </c>
      <c r="O8" s="6"/>
      <c r="P8" s="7">
        <f t="shared" si="0"/>
        <v>2.52</v>
      </c>
      <c r="Q8" s="6"/>
      <c r="R8" s="7">
        <f t="shared" si="1"/>
        <v>19.8828</v>
      </c>
      <c r="S8" s="8"/>
      <c r="T8" s="8"/>
      <c r="U8" s="8"/>
      <c r="V8" s="8"/>
      <c r="W8" s="8"/>
    </row>
    <row r="9" spans="1:23" x14ac:dyDescent="0.25">
      <c r="A9" t="s">
        <v>30</v>
      </c>
      <c r="B9" t="s">
        <v>100</v>
      </c>
      <c r="C9" t="s">
        <v>101</v>
      </c>
      <c r="D9" t="s">
        <v>110</v>
      </c>
      <c r="E9" t="s">
        <v>49</v>
      </c>
      <c r="F9" s="5">
        <v>48.5</v>
      </c>
      <c r="G9" t="s">
        <v>35</v>
      </c>
      <c r="H9" s="5">
        <v>1056.0999999999999</v>
      </c>
      <c r="I9" s="5">
        <v>138.58000000000001</v>
      </c>
      <c r="J9" s="5">
        <v>20.97</v>
      </c>
      <c r="K9" s="5">
        <v>117.61</v>
      </c>
      <c r="L9" s="5">
        <v>35</v>
      </c>
      <c r="M9" s="5">
        <v>1.2672346800000001</v>
      </c>
      <c r="N9" s="6"/>
      <c r="O9" s="6"/>
      <c r="P9" s="7" t="str">
        <f t="shared" si="0"/>
        <v/>
      </c>
      <c r="Q9" s="6"/>
      <c r="R9" s="7" t="str">
        <f t="shared" si="1"/>
        <v/>
      </c>
      <c r="S9" s="8"/>
      <c r="T9" s="8"/>
      <c r="U9" s="8"/>
      <c r="V9" s="8"/>
      <c r="W9" s="8"/>
    </row>
    <row r="10" spans="1:23" x14ac:dyDescent="0.25">
      <c r="A10" t="s">
        <v>30</v>
      </c>
      <c r="B10" t="s">
        <v>100</v>
      </c>
      <c r="C10" t="s">
        <v>101</v>
      </c>
      <c r="D10" t="s">
        <v>111</v>
      </c>
      <c r="E10" t="s">
        <v>51</v>
      </c>
      <c r="F10" s="5">
        <v>66.5</v>
      </c>
      <c r="G10" t="s">
        <v>35</v>
      </c>
      <c r="H10" s="5">
        <v>1041.3</v>
      </c>
      <c r="I10" s="5">
        <v>100.45</v>
      </c>
      <c r="J10" s="5">
        <v>11.13</v>
      </c>
      <c r="K10" s="5">
        <v>89.320000000000007</v>
      </c>
      <c r="L10" s="5">
        <v>14</v>
      </c>
      <c r="M10" s="5">
        <v>1.6129721699999999</v>
      </c>
      <c r="N10" s="6">
        <v>4.3499999999999996</v>
      </c>
      <c r="O10" s="6"/>
      <c r="P10" s="7">
        <f t="shared" si="0"/>
        <v>4.3499999999999996</v>
      </c>
      <c r="Q10" s="6"/>
      <c r="R10" s="7">
        <f t="shared" si="1"/>
        <v>34.321499999999993</v>
      </c>
      <c r="S10" s="8"/>
      <c r="T10" s="8"/>
      <c r="U10" s="8"/>
      <c r="V10" s="8"/>
      <c r="W10" s="8"/>
    </row>
    <row r="11" spans="1:23" x14ac:dyDescent="0.25">
      <c r="A11" t="s">
        <v>30</v>
      </c>
      <c r="B11" t="s">
        <v>100</v>
      </c>
      <c r="C11" t="s">
        <v>101</v>
      </c>
      <c r="D11" t="s">
        <v>112</v>
      </c>
      <c r="E11" t="s">
        <v>53</v>
      </c>
      <c r="F11" s="5">
        <v>69</v>
      </c>
      <c r="G11" t="s">
        <v>35</v>
      </c>
      <c r="H11" s="5">
        <v>1039.5999999999999</v>
      </c>
      <c r="I11" s="5">
        <v>103.95</v>
      </c>
      <c r="J11" s="5">
        <v>10.36</v>
      </c>
      <c r="K11" s="5">
        <v>93.59</v>
      </c>
      <c r="L11" s="5">
        <v>17</v>
      </c>
      <c r="M11" s="5">
        <v>1.5297750000000001</v>
      </c>
      <c r="N11" s="6"/>
      <c r="O11" s="6"/>
      <c r="P11" s="7" t="str">
        <f t="shared" si="0"/>
        <v/>
      </c>
      <c r="Q11" s="6"/>
      <c r="R11" s="7" t="str">
        <f t="shared" si="1"/>
        <v/>
      </c>
      <c r="S11" s="8"/>
      <c r="T11" s="8"/>
      <c r="U11" s="8"/>
      <c r="V11" s="8"/>
      <c r="W11" s="8"/>
    </row>
    <row r="12" spans="1:23" x14ac:dyDescent="0.25">
      <c r="A12" t="s">
        <v>30</v>
      </c>
      <c r="B12" t="s">
        <v>100</v>
      </c>
      <c r="C12" t="s">
        <v>101</v>
      </c>
      <c r="D12" t="s">
        <v>113</v>
      </c>
      <c r="E12" t="s">
        <v>55</v>
      </c>
      <c r="F12" s="5">
        <v>72.5</v>
      </c>
      <c r="G12" t="s">
        <v>35</v>
      </c>
      <c r="H12" s="5">
        <v>1049.0999999999999</v>
      </c>
      <c r="I12" s="5">
        <v>125.47</v>
      </c>
      <c r="J12" s="5">
        <v>34.1</v>
      </c>
      <c r="K12" s="5">
        <v>91.37</v>
      </c>
      <c r="L12" s="5">
        <v>15</v>
      </c>
      <c r="M12" s="5">
        <v>1.4308866</v>
      </c>
      <c r="N12" s="6">
        <v>4.8899999999999997</v>
      </c>
      <c r="O12" s="6"/>
      <c r="P12" s="7">
        <f t="shared" si="0"/>
        <v>4.8899999999999997</v>
      </c>
      <c r="Q12" s="6"/>
      <c r="R12" s="7">
        <f t="shared" si="1"/>
        <v>38.582099999999997</v>
      </c>
      <c r="S12" s="8"/>
      <c r="T12" s="8"/>
      <c r="U12" s="8"/>
      <c r="V12" s="8"/>
      <c r="W12" s="8"/>
    </row>
    <row r="13" spans="1:23" x14ac:dyDescent="0.25">
      <c r="A13" t="s">
        <v>30</v>
      </c>
      <c r="B13" t="s">
        <v>100</v>
      </c>
      <c r="C13" t="s">
        <v>101</v>
      </c>
      <c r="D13" t="s">
        <v>114</v>
      </c>
      <c r="E13" t="s">
        <v>57</v>
      </c>
      <c r="F13" s="5">
        <v>90.5</v>
      </c>
      <c r="G13" t="s">
        <v>35</v>
      </c>
      <c r="H13" s="5">
        <v>1037.2</v>
      </c>
      <c r="I13" s="5">
        <v>105.78</v>
      </c>
      <c r="J13" s="5">
        <v>27.41</v>
      </c>
      <c r="K13" s="5">
        <v>78.37</v>
      </c>
      <c r="L13" s="5">
        <v>0</v>
      </c>
      <c r="M13" s="5">
        <v>1.5137842500000001</v>
      </c>
      <c r="N13" s="6">
        <v>7.33</v>
      </c>
      <c r="O13" s="6"/>
      <c r="P13" s="7">
        <f t="shared" si="0"/>
        <v>7.33</v>
      </c>
      <c r="Q13" s="6"/>
      <c r="R13" s="7">
        <f t="shared" si="1"/>
        <v>57.8337</v>
      </c>
      <c r="S13" s="8"/>
      <c r="T13" s="8"/>
      <c r="U13" s="8"/>
      <c r="V13" s="8"/>
      <c r="W13" s="8"/>
    </row>
    <row r="14" spans="1:23" x14ac:dyDescent="0.25">
      <c r="A14" t="s">
        <v>30</v>
      </c>
      <c r="B14" t="s">
        <v>100</v>
      </c>
      <c r="C14" t="s">
        <v>101</v>
      </c>
      <c r="D14" t="s">
        <v>115</v>
      </c>
      <c r="E14" t="s">
        <v>59</v>
      </c>
      <c r="F14" s="5">
        <v>92.5</v>
      </c>
      <c r="G14" t="s">
        <v>35</v>
      </c>
      <c r="H14" s="5">
        <v>1036.5</v>
      </c>
      <c r="I14" s="5">
        <v>104.06</v>
      </c>
      <c r="J14" s="5">
        <v>26.69</v>
      </c>
      <c r="K14" s="5">
        <v>77.37</v>
      </c>
      <c r="L14" s="5">
        <v>1</v>
      </c>
      <c r="M14" s="5">
        <v>1.4171256000000001</v>
      </c>
      <c r="N14" s="6"/>
      <c r="O14" s="6"/>
      <c r="P14" s="7" t="str">
        <f t="shared" si="0"/>
        <v/>
      </c>
      <c r="Q14" s="6"/>
      <c r="R14" s="7" t="str">
        <f t="shared" si="1"/>
        <v/>
      </c>
      <c r="S14" s="8"/>
      <c r="T14" s="8"/>
      <c r="U14" s="8"/>
      <c r="V14" s="8"/>
      <c r="W14" s="8"/>
    </row>
    <row r="15" spans="1:23" x14ac:dyDescent="0.25">
      <c r="A15" t="s">
        <v>30</v>
      </c>
      <c r="B15" t="s">
        <v>100</v>
      </c>
      <c r="C15" t="s">
        <v>101</v>
      </c>
      <c r="D15" t="s">
        <v>116</v>
      </c>
      <c r="E15" t="s">
        <v>61</v>
      </c>
      <c r="F15" s="5">
        <v>96.5</v>
      </c>
      <c r="G15" t="s">
        <v>35</v>
      </c>
      <c r="H15" s="5">
        <v>1034.5</v>
      </c>
      <c r="I15" s="5">
        <v>97.81</v>
      </c>
      <c r="J15" s="5">
        <v>24.41</v>
      </c>
      <c r="K15" s="5">
        <v>73.400000000000006</v>
      </c>
      <c r="L15" s="5">
        <v>0</v>
      </c>
      <c r="M15" s="5">
        <v>1.4446323000000001</v>
      </c>
      <c r="N15" s="6">
        <v>6.75</v>
      </c>
      <c r="O15" s="6"/>
      <c r="P15" s="7">
        <f t="shared" si="0"/>
        <v>6.75</v>
      </c>
      <c r="Q15" s="6"/>
      <c r="R15" s="7">
        <f t="shared" si="1"/>
        <v>53.2575</v>
      </c>
      <c r="S15" s="8"/>
      <c r="T15" s="8"/>
      <c r="U15" s="8"/>
      <c r="V15" s="8"/>
      <c r="W15" s="8"/>
    </row>
    <row r="16" spans="1:23" x14ac:dyDescent="0.25">
      <c r="A16" t="s">
        <v>30</v>
      </c>
      <c r="B16" t="s">
        <v>100</v>
      </c>
      <c r="C16" t="s">
        <v>101</v>
      </c>
      <c r="D16" t="s">
        <v>117</v>
      </c>
      <c r="E16" t="s">
        <v>63</v>
      </c>
      <c r="F16" s="5">
        <v>162.5</v>
      </c>
      <c r="G16" t="s">
        <v>35</v>
      </c>
      <c r="H16" s="5">
        <v>1002.7</v>
      </c>
      <c r="I16" s="5">
        <v>30.96</v>
      </c>
      <c r="J16" s="5">
        <v>1.83</v>
      </c>
      <c r="K16" s="5">
        <v>29.13</v>
      </c>
      <c r="L16" s="5">
        <v>0</v>
      </c>
      <c r="M16" s="5">
        <v>1.2578982000000001</v>
      </c>
      <c r="N16" s="6">
        <v>10.89</v>
      </c>
      <c r="O16" s="6"/>
      <c r="P16" s="7">
        <f t="shared" si="0"/>
        <v>10.89</v>
      </c>
      <c r="Q16" s="6"/>
      <c r="R16" s="7">
        <f t="shared" si="1"/>
        <v>85.9221</v>
      </c>
      <c r="S16" s="8"/>
      <c r="T16" s="8"/>
      <c r="U16" s="8"/>
      <c r="V16" s="8"/>
      <c r="W16" s="8"/>
    </row>
    <row r="17" spans="1:23" x14ac:dyDescent="0.25">
      <c r="A17" t="s">
        <v>30</v>
      </c>
      <c r="B17" t="s">
        <v>100</v>
      </c>
      <c r="C17" t="s">
        <v>101</v>
      </c>
      <c r="D17" t="s">
        <v>118</v>
      </c>
      <c r="E17" t="s">
        <v>65</v>
      </c>
      <c r="F17" s="5">
        <v>168.5</v>
      </c>
      <c r="G17" t="s">
        <v>35</v>
      </c>
      <c r="H17" s="5">
        <v>1001</v>
      </c>
      <c r="I17" s="5">
        <v>27.52</v>
      </c>
      <c r="J17" s="5">
        <v>1.1000000000000001</v>
      </c>
      <c r="K17" s="5">
        <v>26.42</v>
      </c>
      <c r="L17" s="5">
        <v>0</v>
      </c>
      <c r="M17" s="5">
        <v>1.168245</v>
      </c>
      <c r="N17" s="6">
        <v>11.01</v>
      </c>
      <c r="O17" s="6"/>
      <c r="P17" s="7">
        <f t="shared" si="0"/>
        <v>11.01</v>
      </c>
      <c r="Q17" s="6"/>
      <c r="R17" s="7">
        <f t="shared" si="1"/>
        <v>86.868899999999996</v>
      </c>
      <c r="S17" s="8"/>
      <c r="T17" s="8"/>
      <c r="U17" s="8"/>
      <c r="V17" s="8"/>
      <c r="W17" s="8"/>
    </row>
    <row r="18" spans="1:23" x14ac:dyDescent="0.25">
      <c r="A18" t="s">
        <v>30</v>
      </c>
      <c r="B18" t="s">
        <v>100</v>
      </c>
      <c r="C18" t="s">
        <v>101</v>
      </c>
      <c r="D18" t="s">
        <v>119</v>
      </c>
      <c r="E18" t="s">
        <v>67</v>
      </c>
      <c r="F18" s="5">
        <v>186.5</v>
      </c>
      <c r="G18" t="s">
        <v>35</v>
      </c>
      <c r="H18" s="5">
        <v>998.3</v>
      </c>
      <c r="I18" s="5"/>
      <c r="J18" s="5">
        <v>2.64</v>
      </c>
      <c r="K18" s="5"/>
      <c r="L18" s="5">
        <v>1</v>
      </c>
      <c r="M18" s="5">
        <v>0.94012092000000003</v>
      </c>
      <c r="N18" s="6"/>
      <c r="O18" s="6"/>
      <c r="P18" s="7" t="str">
        <f t="shared" si="0"/>
        <v/>
      </c>
      <c r="Q18" s="6"/>
      <c r="R18" s="7" t="str">
        <f t="shared" si="1"/>
        <v/>
      </c>
      <c r="S18" s="8"/>
      <c r="T18" s="8"/>
      <c r="U18" s="8"/>
      <c r="V18" s="8"/>
      <c r="W18" s="8"/>
    </row>
    <row r="19" spans="1:23" x14ac:dyDescent="0.25">
      <c r="A19" t="s">
        <v>30</v>
      </c>
      <c r="B19" t="s">
        <v>100</v>
      </c>
      <c r="C19" t="s">
        <v>101</v>
      </c>
      <c r="D19" t="s">
        <v>120</v>
      </c>
      <c r="E19" t="s">
        <v>69</v>
      </c>
      <c r="F19" s="5">
        <v>192.5</v>
      </c>
      <c r="G19" t="s">
        <v>35</v>
      </c>
      <c r="H19" s="5">
        <v>998.7</v>
      </c>
      <c r="I19" s="5">
        <v>18.260000000000002</v>
      </c>
      <c r="J19" s="5">
        <v>3.98</v>
      </c>
      <c r="K19" s="5">
        <v>14.28</v>
      </c>
      <c r="L19" s="5"/>
      <c r="M19" s="5">
        <v>1.0208196</v>
      </c>
      <c r="N19" s="6"/>
      <c r="O19" s="6"/>
      <c r="P19" s="7" t="str">
        <f t="shared" si="0"/>
        <v/>
      </c>
      <c r="Q19" s="6"/>
      <c r="R19" s="7" t="str">
        <f t="shared" si="1"/>
        <v/>
      </c>
      <c r="S19" s="8"/>
      <c r="T19" s="8"/>
      <c r="U19" s="8"/>
      <c r="V19" s="8"/>
      <c r="W19" s="8"/>
    </row>
    <row r="20" spans="1:23" x14ac:dyDescent="0.25">
      <c r="A20" t="s">
        <v>30</v>
      </c>
      <c r="B20" t="s">
        <v>100</v>
      </c>
      <c r="C20" t="s">
        <v>101</v>
      </c>
      <c r="D20" t="s">
        <v>121</v>
      </c>
      <c r="E20" t="s">
        <v>71</v>
      </c>
      <c r="F20" s="5">
        <v>211.5</v>
      </c>
      <c r="G20" t="s">
        <v>35</v>
      </c>
      <c r="H20" s="5">
        <v>993.7</v>
      </c>
      <c r="I20" s="5">
        <v>13.71</v>
      </c>
      <c r="J20" s="5">
        <v>1.3</v>
      </c>
      <c r="K20" s="5">
        <v>12.41</v>
      </c>
      <c r="L20" s="5">
        <v>4</v>
      </c>
      <c r="M20" s="5">
        <v>0.75345158999999995</v>
      </c>
      <c r="N20" s="6">
        <v>11.88</v>
      </c>
      <c r="O20" s="6"/>
      <c r="P20" s="7">
        <f t="shared" si="0"/>
        <v>11.88</v>
      </c>
      <c r="Q20" s="6"/>
      <c r="R20" s="7">
        <f t="shared" si="1"/>
        <v>93.733199999999997</v>
      </c>
      <c r="S20" s="8"/>
      <c r="T20" s="8"/>
      <c r="U20" s="8"/>
      <c r="V20" s="8"/>
      <c r="W20" s="8"/>
    </row>
  </sheetData>
  <autoFilter ref="A1:W20" xr:uid="{00000000-0009-0000-0000-000004000000}"/>
  <dataValidations count="1">
    <dataValidation type="list" allowBlank="1" sqref="V2:V20" xr:uid="{00000000-0002-0000-0400-000000000000}">
      <formula1>"OK,not_measured,below_LOQ,above_range,suspect,rerun,discard"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All_samples</vt:lpstr>
      <vt:lpstr>F1</vt:lpstr>
      <vt:lpstr>F2</vt:lpstr>
      <vt:lpstr>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Luis Torrealba Vasquez</cp:lastModifiedBy>
  <dcterms:created xsi:type="dcterms:W3CDTF">2026-07-02T15:21:19Z</dcterms:created>
  <dcterms:modified xsi:type="dcterms:W3CDTF">2026-07-03T23:28:29Z</dcterms:modified>
</cp:coreProperties>
</file>