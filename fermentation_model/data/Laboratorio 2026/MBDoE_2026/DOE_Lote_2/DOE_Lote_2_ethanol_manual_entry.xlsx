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cristobal_torrealba_conchaytoro_cl/Documents/Documentos/Doctorado/Artículos/Artículo - Estimación_dFBA/pyomo-doe/fermentation_model/data/Laboratorio 2026/MBDoE_2026/DOE_Lote_2/"/>
    </mc:Choice>
  </mc:AlternateContent>
  <xr:revisionPtr revIDLastSave="67" documentId="11_AF7916E5BA66EBC4BE326B0281FC009EC5614244" xr6:coauthVersionLast="47" xr6:coauthVersionMax="47" xr10:uidLastSave="{D52A0246-FCB8-446C-B661-60F06593EEF1}"/>
  <bookViews>
    <workbookView xWindow="-120" yWindow="-120" windowWidth="29040" windowHeight="15720" activeTab="1" xr2:uid="{00000000-000D-0000-FFFF-FFFF00000000}"/>
  </bookViews>
  <sheets>
    <sheet name="README" sheetId="1" r:id="rId1"/>
    <sheet name="F1" sheetId="2" r:id="rId2"/>
    <sheet name="F2" sheetId="3" r:id="rId3"/>
    <sheet name="F3" sheetId="4" r:id="rId4"/>
    <sheet name="All_samples" sheetId="5" r:id="rId5"/>
  </sheets>
  <definedNames>
    <definedName name="_xlnm._FilterDatabase" localSheetId="4" hidden="1">All_samples!$A$1:$AF$55</definedName>
    <definedName name="_xlnm._FilterDatabase" localSheetId="1" hidden="1">'F1'!$A$1:$AF$19</definedName>
    <definedName name="_xlnm._FilterDatabase" localSheetId="2" hidden="1">'F2'!$A$1:$AF$19</definedName>
    <definedName name="_xlnm._FilterDatabase" localSheetId="3" hidden="1">'F3'!$A$1:$AF$19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2" l="1"/>
  <c r="Y5" i="2"/>
  <c r="Y5" i="5" s="1"/>
  <c r="Y6" i="5"/>
  <c r="Y7" i="5"/>
  <c r="Y8" i="2"/>
  <c r="Y8" i="5" s="1"/>
  <c r="Y9" i="2"/>
  <c r="Y11" i="2"/>
  <c r="Y12" i="2"/>
  <c r="Y12" i="5" s="1"/>
  <c r="Y14" i="2"/>
  <c r="Y14" i="5" s="1"/>
  <c r="Y15" i="2"/>
  <c r="Y15" i="5" s="1"/>
  <c r="Y16" i="2"/>
  <c r="Y16" i="5" s="1"/>
  <c r="Y17" i="2"/>
  <c r="Y17" i="5" s="1"/>
  <c r="Y18" i="2"/>
  <c r="Y19" i="2"/>
  <c r="Y19" i="5" s="1"/>
  <c r="Y2" i="2"/>
  <c r="Y2" i="5" s="1"/>
  <c r="Y4" i="3"/>
  <c r="Y22" i="5" s="1"/>
  <c r="Y5" i="3"/>
  <c r="Y23" i="5" s="1"/>
  <c r="Y25" i="5"/>
  <c r="Y8" i="3"/>
  <c r="Y26" i="5" s="1"/>
  <c r="Y9" i="3"/>
  <c r="Y27" i="5" s="1"/>
  <c r="Y28" i="5"/>
  <c r="Y11" i="3"/>
  <c r="Y29" i="5" s="1"/>
  <c r="Y12" i="3"/>
  <c r="Y30" i="5" s="1"/>
  <c r="Y31" i="5"/>
  <c r="Y14" i="3"/>
  <c r="Y32" i="5" s="1"/>
  <c r="Y15" i="3"/>
  <c r="AA15" i="3" s="1"/>
  <c r="AA33" i="5" s="1"/>
  <c r="Y16" i="3"/>
  <c r="Y34" i="5" s="1"/>
  <c r="Y17" i="3"/>
  <c r="Y35" i="5" s="1"/>
  <c r="Y18" i="3"/>
  <c r="Y19" i="3"/>
  <c r="Y37" i="5" s="1"/>
  <c r="Y2" i="3"/>
  <c r="Y20" i="5" s="1"/>
  <c r="Y54" i="5"/>
  <c r="Y55" i="5"/>
  <c r="Y39" i="5"/>
  <c r="Y4" i="4"/>
  <c r="Y40" i="5" s="1"/>
  <c r="Y5" i="4"/>
  <c r="Y41" i="5" s="1"/>
  <c r="Y43" i="5"/>
  <c r="Y8" i="4"/>
  <c r="Y44" i="5" s="1"/>
  <c r="Y9" i="4"/>
  <c r="AA9" i="4" s="1"/>
  <c r="AA45" i="5" s="1"/>
  <c r="Y46" i="5"/>
  <c r="Y11" i="4"/>
  <c r="Y47" i="5" s="1"/>
  <c r="Y12" i="4"/>
  <c r="Y48" i="5" s="1"/>
  <c r="Y49" i="5"/>
  <c r="Y14" i="4"/>
  <c r="Y50" i="5" s="1"/>
  <c r="Y15" i="4"/>
  <c r="Y51" i="5" s="1"/>
  <c r="Y16" i="4"/>
  <c r="Y52" i="5" s="1"/>
  <c r="Y17" i="4"/>
  <c r="Y53" i="5" s="1"/>
  <c r="Y2" i="4"/>
  <c r="AF55" i="5"/>
  <c r="AE55" i="5"/>
  <c r="AD55" i="5"/>
  <c r="AC55" i="5"/>
  <c r="AB55" i="5"/>
  <c r="Z55" i="5"/>
  <c r="X55" i="5"/>
  <c r="W55" i="5"/>
  <c r="V55" i="5"/>
  <c r="U55" i="5"/>
  <c r="T55" i="5"/>
  <c r="S55" i="5"/>
  <c r="Q55" i="5"/>
  <c r="P55" i="5"/>
  <c r="O55" i="5"/>
  <c r="M55" i="5"/>
  <c r="L55" i="5"/>
  <c r="K55" i="5"/>
  <c r="J55" i="5"/>
  <c r="I55" i="5"/>
  <c r="H55" i="5"/>
  <c r="G55" i="5"/>
  <c r="F55" i="5"/>
  <c r="E55" i="5"/>
  <c r="D55" i="5"/>
  <c r="C55" i="5"/>
  <c r="B55" i="5"/>
  <c r="A55" i="5"/>
  <c r="AF54" i="5"/>
  <c r="AE54" i="5"/>
  <c r="AD54" i="5"/>
  <c r="AC54" i="5"/>
  <c r="AB54" i="5"/>
  <c r="Z54" i="5"/>
  <c r="X54" i="5"/>
  <c r="W54" i="5"/>
  <c r="V54" i="5"/>
  <c r="U54" i="5"/>
  <c r="T54" i="5"/>
  <c r="S54" i="5"/>
  <c r="Q54" i="5"/>
  <c r="P54" i="5"/>
  <c r="O54" i="5"/>
  <c r="M54" i="5"/>
  <c r="L54" i="5"/>
  <c r="K54" i="5"/>
  <c r="J54" i="5"/>
  <c r="I54" i="5"/>
  <c r="H54" i="5"/>
  <c r="G54" i="5"/>
  <c r="F54" i="5"/>
  <c r="E54" i="5"/>
  <c r="D54" i="5"/>
  <c r="C54" i="5"/>
  <c r="B54" i="5"/>
  <c r="A54" i="5"/>
  <c r="AF53" i="5"/>
  <c r="AE53" i="5"/>
  <c r="AD53" i="5"/>
  <c r="AC53" i="5"/>
  <c r="AB53" i="5"/>
  <c r="Z53" i="5"/>
  <c r="X53" i="5"/>
  <c r="W53" i="5"/>
  <c r="V53" i="5"/>
  <c r="U53" i="5"/>
  <c r="T53" i="5"/>
  <c r="S53" i="5"/>
  <c r="Q53" i="5"/>
  <c r="P53" i="5"/>
  <c r="O53" i="5"/>
  <c r="M53" i="5"/>
  <c r="L53" i="5"/>
  <c r="K53" i="5"/>
  <c r="J53" i="5"/>
  <c r="I53" i="5"/>
  <c r="H53" i="5"/>
  <c r="G53" i="5"/>
  <c r="F53" i="5"/>
  <c r="E53" i="5"/>
  <c r="D53" i="5"/>
  <c r="C53" i="5"/>
  <c r="B53" i="5"/>
  <c r="A53" i="5"/>
  <c r="AF52" i="5"/>
  <c r="AE52" i="5"/>
  <c r="AD52" i="5"/>
  <c r="AC52" i="5"/>
  <c r="AB52" i="5"/>
  <c r="Z52" i="5"/>
  <c r="X52" i="5"/>
  <c r="W52" i="5"/>
  <c r="V52" i="5"/>
  <c r="U52" i="5"/>
  <c r="T52" i="5"/>
  <c r="S52" i="5"/>
  <c r="Q52" i="5"/>
  <c r="P52" i="5"/>
  <c r="O52" i="5"/>
  <c r="M52" i="5"/>
  <c r="L52" i="5"/>
  <c r="K52" i="5"/>
  <c r="J52" i="5"/>
  <c r="I52" i="5"/>
  <c r="H52" i="5"/>
  <c r="G52" i="5"/>
  <c r="F52" i="5"/>
  <c r="E52" i="5"/>
  <c r="D52" i="5"/>
  <c r="C52" i="5"/>
  <c r="B52" i="5"/>
  <c r="A52" i="5"/>
  <c r="AF51" i="5"/>
  <c r="AE51" i="5"/>
  <c r="AD51" i="5"/>
  <c r="AC51" i="5"/>
  <c r="AB51" i="5"/>
  <c r="Z51" i="5"/>
  <c r="X51" i="5"/>
  <c r="W51" i="5"/>
  <c r="V51" i="5"/>
  <c r="U51" i="5"/>
  <c r="T51" i="5"/>
  <c r="S51" i="5"/>
  <c r="Q51" i="5"/>
  <c r="P51" i="5"/>
  <c r="O51" i="5"/>
  <c r="M51" i="5"/>
  <c r="L51" i="5"/>
  <c r="K51" i="5"/>
  <c r="J51" i="5"/>
  <c r="I51" i="5"/>
  <c r="H51" i="5"/>
  <c r="G51" i="5"/>
  <c r="F51" i="5"/>
  <c r="E51" i="5"/>
  <c r="D51" i="5"/>
  <c r="C51" i="5"/>
  <c r="B51" i="5"/>
  <c r="A51" i="5"/>
  <c r="AF50" i="5"/>
  <c r="AE50" i="5"/>
  <c r="AD50" i="5"/>
  <c r="AC50" i="5"/>
  <c r="AB50" i="5"/>
  <c r="Z50" i="5"/>
  <c r="X50" i="5"/>
  <c r="W50" i="5"/>
  <c r="V50" i="5"/>
  <c r="U50" i="5"/>
  <c r="T50" i="5"/>
  <c r="S50" i="5"/>
  <c r="Q50" i="5"/>
  <c r="P50" i="5"/>
  <c r="O50" i="5"/>
  <c r="M50" i="5"/>
  <c r="L50" i="5"/>
  <c r="K50" i="5"/>
  <c r="J50" i="5"/>
  <c r="I50" i="5"/>
  <c r="H50" i="5"/>
  <c r="G50" i="5"/>
  <c r="F50" i="5"/>
  <c r="E50" i="5"/>
  <c r="D50" i="5"/>
  <c r="C50" i="5"/>
  <c r="B50" i="5"/>
  <c r="A50" i="5"/>
  <c r="AF49" i="5"/>
  <c r="AE49" i="5"/>
  <c r="AD49" i="5"/>
  <c r="AC49" i="5"/>
  <c r="AB49" i="5"/>
  <c r="Z49" i="5"/>
  <c r="X49" i="5"/>
  <c r="W49" i="5"/>
  <c r="V49" i="5"/>
  <c r="U49" i="5"/>
  <c r="T49" i="5"/>
  <c r="S49" i="5"/>
  <c r="Q49" i="5"/>
  <c r="P49" i="5"/>
  <c r="O49" i="5"/>
  <c r="M49" i="5"/>
  <c r="L49" i="5"/>
  <c r="K49" i="5"/>
  <c r="J49" i="5"/>
  <c r="I49" i="5"/>
  <c r="H49" i="5"/>
  <c r="G49" i="5"/>
  <c r="F49" i="5"/>
  <c r="E49" i="5"/>
  <c r="D49" i="5"/>
  <c r="C49" i="5"/>
  <c r="B49" i="5"/>
  <c r="A49" i="5"/>
  <c r="AF48" i="5"/>
  <c r="AE48" i="5"/>
  <c r="AD48" i="5"/>
  <c r="AC48" i="5"/>
  <c r="AB48" i="5"/>
  <c r="Z48" i="5"/>
  <c r="X48" i="5"/>
  <c r="W48" i="5"/>
  <c r="V48" i="5"/>
  <c r="U48" i="5"/>
  <c r="T48" i="5"/>
  <c r="S48" i="5"/>
  <c r="Q48" i="5"/>
  <c r="P48" i="5"/>
  <c r="O48" i="5"/>
  <c r="M48" i="5"/>
  <c r="L48" i="5"/>
  <c r="K48" i="5"/>
  <c r="J48" i="5"/>
  <c r="I48" i="5"/>
  <c r="H48" i="5"/>
  <c r="G48" i="5"/>
  <c r="F48" i="5"/>
  <c r="E48" i="5"/>
  <c r="D48" i="5"/>
  <c r="C48" i="5"/>
  <c r="B48" i="5"/>
  <c r="A48" i="5"/>
  <c r="AF47" i="5"/>
  <c r="AE47" i="5"/>
  <c r="AD47" i="5"/>
  <c r="AC47" i="5"/>
  <c r="AB47" i="5"/>
  <c r="Z47" i="5"/>
  <c r="X47" i="5"/>
  <c r="W47" i="5"/>
  <c r="V47" i="5"/>
  <c r="U47" i="5"/>
  <c r="T47" i="5"/>
  <c r="S47" i="5"/>
  <c r="Q47" i="5"/>
  <c r="P47" i="5"/>
  <c r="O47" i="5"/>
  <c r="M47" i="5"/>
  <c r="L47" i="5"/>
  <c r="K47" i="5"/>
  <c r="J47" i="5"/>
  <c r="I47" i="5"/>
  <c r="H47" i="5"/>
  <c r="G47" i="5"/>
  <c r="F47" i="5"/>
  <c r="E47" i="5"/>
  <c r="D47" i="5"/>
  <c r="C47" i="5"/>
  <c r="B47" i="5"/>
  <c r="A47" i="5"/>
  <c r="AF46" i="5"/>
  <c r="AE46" i="5"/>
  <c r="AD46" i="5"/>
  <c r="AC46" i="5"/>
  <c r="AB46" i="5"/>
  <c r="Z46" i="5"/>
  <c r="X46" i="5"/>
  <c r="W46" i="5"/>
  <c r="V46" i="5"/>
  <c r="U46" i="5"/>
  <c r="T46" i="5"/>
  <c r="S46" i="5"/>
  <c r="Q46" i="5"/>
  <c r="P46" i="5"/>
  <c r="O46" i="5"/>
  <c r="M46" i="5"/>
  <c r="L46" i="5"/>
  <c r="K46" i="5"/>
  <c r="J46" i="5"/>
  <c r="I46" i="5"/>
  <c r="H46" i="5"/>
  <c r="G46" i="5"/>
  <c r="F46" i="5"/>
  <c r="E46" i="5"/>
  <c r="D46" i="5"/>
  <c r="C46" i="5"/>
  <c r="B46" i="5"/>
  <c r="A46" i="5"/>
  <c r="AF45" i="5"/>
  <c r="AE45" i="5"/>
  <c r="AD45" i="5"/>
  <c r="AC45" i="5"/>
  <c r="AB45" i="5"/>
  <c r="Z45" i="5"/>
  <c r="X45" i="5"/>
  <c r="W45" i="5"/>
  <c r="V45" i="5"/>
  <c r="U45" i="5"/>
  <c r="T45" i="5"/>
  <c r="S45" i="5"/>
  <c r="Q45" i="5"/>
  <c r="P45" i="5"/>
  <c r="O45" i="5"/>
  <c r="M45" i="5"/>
  <c r="L45" i="5"/>
  <c r="K45" i="5"/>
  <c r="J45" i="5"/>
  <c r="I45" i="5"/>
  <c r="H45" i="5"/>
  <c r="G45" i="5"/>
  <c r="F45" i="5"/>
  <c r="E45" i="5"/>
  <c r="D45" i="5"/>
  <c r="C45" i="5"/>
  <c r="B45" i="5"/>
  <c r="A45" i="5"/>
  <c r="AF44" i="5"/>
  <c r="AE44" i="5"/>
  <c r="AD44" i="5"/>
  <c r="AC44" i="5"/>
  <c r="AB44" i="5"/>
  <c r="Z44" i="5"/>
  <c r="X44" i="5"/>
  <c r="W44" i="5"/>
  <c r="V44" i="5"/>
  <c r="U44" i="5"/>
  <c r="T44" i="5"/>
  <c r="S44" i="5"/>
  <c r="Q44" i="5"/>
  <c r="P44" i="5"/>
  <c r="O44" i="5"/>
  <c r="M44" i="5"/>
  <c r="L44" i="5"/>
  <c r="K44" i="5"/>
  <c r="J44" i="5"/>
  <c r="I44" i="5"/>
  <c r="H44" i="5"/>
  <c r="G44" i="5"/>
  <c r="F44" i="5"/>
  <c r="E44" i="5"/>
  <c r="D44" i="5"/>
  <c r="C44" i="5"/>
  <c r="B44" i="5"/>
  <c r="A44" i="5"/>
  <c r="AF43" i="5"/>
  <c r="AE43" i="5"/>
  <c r="AD43" i="5"/>
  <c r="AC43" i="5"/>
  <c r="AB43" i="5"/>
  <c r="Z43" i="5"/>
  <c r="X43" i="5"/>
  <c r="W43" i="5"/>
  <c r="V43" i="5"/>
  <c r="U43" i="5"/>
  <c r="T43" i="5"/>
  <c r="S43" i="5"/>
  <c r="Q43" i="5"/>
  <c r="P43" i="5"/>
  <c r="O43" i="5"/>
  <c r="M43" i="5"/>
  <c r="L43" i="5"/>
  <c r="K43" i="5"/>
  <c r="J43" i="5"/>
  <c r="I43" i="5"/>
  <c r="H43" i="5"/>
  <c r="G43" i="5"/>
  <c r="F43" i="5"/>
  <c r="E43" i="5"/>
  <c r="D43" i="5"/>
  <c r="C43" i="5"/>
  <c r="B43" i="5"/>
  <c r="A43" i="5"/>
  <c r="AF42" i="5"/>
  <c r="AE42" i="5"/>
  <c r="AD42" i="5"/>
  <c r="AC42" i="5"/>
  <c r="AB42" i="5"/>
  <c r="Z42" i="5"/>
  <c r="X42" i="5"/>
  <c r="W42" i="5"/>
  <c r="V42" i="5"/>
  <c r="U42" i="5"/>
  <c r="T42" i="5"/>
  <c r="S42" i="5"/>
  <c r="Q42" i="5"/>
  <c r="P42" i="5"/>
  <c r="O42" i="5"/>
  <c r="M42" i="5"/>
  <c r="L42" i="5"/>
  <c r="K42" i="5"/>
  <c r="J42" i="5"/>
  <c r="I42" i="5"/>
  <c r="H42" i="5"/>
  <c r="G42" i="5"/>
  <c r="F42" i="5"/>
  <c r="E42" i="5"/>
  <c r="D42" i="5"/>
  <c r="C42" i="5"/>
  <c r="B42" i="5"/>
  <c r="A42" i="5"/>
  <c r="AF41" i="5"/>
  <c r="AE41" i="5"/>
  <c r="AD41" i="5"/>
  <c r="AC41" i="5"/>
  <c r="AB41" i="5"/>
  <c r="Z41" i="5"/>
  <c r="X41" i="5"/>
  <c r="W41" i="5"/>
  <c r="V41" i="5"/>
  <c r="U41" i="5"/>
  <c r="T41" i="5"/>
  <c r="S41" i="5"/>
  <c r="Q41" i="5"/>
  <c r="P41" i="5"/>
  <c r="O41" i="5"/>
  <c r="M41" i="5"/>
  <c r="L41" i="5"/>
  <c r="K41" i="5"/>
  <c r="J41" i="5"/>
  <c r="I41" i="5"/>
  <c r="H41" i="5"/>
  <c r="G41" i="5"/>
  <c r="F41" i="5"/>
  <c r="E41" i="5"/>
  <c r="D41" i="5"/>
  <c r="C41" i="5"/>
  <c r="B41" i="5"/>
  <c r="A41" i="5"/>
  <c r="AF40" i="5"/>
  <c r="AE40" i="5"/>
  <c r="AD40" i="5"/>
  <c r="AC40" i="5"/>
  <c r="AB40" i="5"/>
  <c r="Z40" i="5"/>
  <c r="X40" i="5"/>
  <c r="W40" i="5"/>
  <c r="V40" i="5"/>
  <c r="U40" i="5"/>
  <c r="T40" i="5"/>
  <c r="S40" i="5"/>
  <c r="Q40" i="5"/>
  <c r="P40" i="5"/>
  <c r="O40" i="5"/>
  <c r="M40" i="5"/>
  <c r="L40" i="5"/>
  <c r="K40" i="5"/>
  <c r="J40" i="5"/>
  <c r="I40" i="5"/>
  <c r="H40" i="5"/>
  <c r="G40" i="5"/>
  <c r="F40" i="5"/>
  <c r="E40" i="5"/>
  <c r="D40" i="5"/>
  <c r="C40" i="5"/>
  <c r="B40" i="5"/>
  <c r="A40" i="5"/>
  <c r="AF39" i="5"/>
  <c r="AE39" i="5"/>
  <c r="AD39" i="5"/>
  <c r="AC39" i="5"/>
  <c r="AB39" i="5"/>
  <c r="Z39" i="5"/>
  <c r="X39" i="5"/>
  <c r="W39" i="5"/>
  <c r="V39" i="5"/>
  <c r="U39" i="5"/>
  <c r="T39" i="5"/>
  <c r="S39" i="5"/>
  <c r="Q39" i="5"/>
  <c r="P39" i="5"/>
  <c r="O39" i="5"/>
  <c r="M39" i="5"/>
  <c r="L39" i="5"/>
  <c r="K39" i="5"/>
  <c r="J39" i="5"/>
  <c r="I39" i="5"/>
  <c r="H39" i="5"/>
  <c r="G39" i="5"/>
  <c r="F39" i="5"/>
  <c r="E39" i="5"/>
  <c r="D39" i="5"/>
  <c r="C39" i="5"/>
  <c r="B39" i="5"/>
  <c r="A39" i="5"/>
  <c r="AF38" i="5"/>
  <c r="AE38" i="5"/>
  <c r="AD38" i="5"/>
  <c r="AC38" i="5"/>
  <c r="AB38" i="5"/>
  <c r="Z38" i="5"/>
  <c r="X38" i="5"/>
  <c r="W38" i="5"/>
  <c r="V38" i="5"/>
  <c r="U38" i="5"/>
  <c r="T38" i="5"/>
  <c r="S38" i="5"/>
  <c r="Q38" i="5"/>
  <c r="P38" i="5"/>
  <c r="O38" i="5"/>
  <c r="M38" i="5"/>
  <c r="L38" i="5"/>
  <c r="K38" i="5"/>
  <c r="J38" i="5"/>
  <c r="I38" i="5"/>
  <c r="H38" i="5"/>
  <c r="G38" i="5"/>
  <c r="F38" i="5"/>
  <c r="E38" i="5"/>
  <c r="D38" i="5"/>
  <c r="C38" i="5"/>
  <c r="B38" i="5"/>
  <c r="A38" i="5"/>
  <c r="AF37" i="5"/>
  <c r="AE37" i="5"/>
  <c r="AD37" i="5"/>
  <c r="AC37" i="5"/>
  <c r="AB37" i="5"/>
  <c r="Z37" i="5"/>
  <c r="X37" i="5"/>
  <c r="W37" i="5"/>
  <c r="V37" i="5"/>
  <c r="U37" i="5"/>
  <c r="T37" i="5"/>
  <c r="S37" i="5"/>
  <c r="Q37" i="5"/>
  <c r="P37" i="5"/>
  <c r="O37" i="5"/>
  <c r="M37" i="5"/>
  <c r="L37" i="5"/>
  <c r="K37" i="5"/>
  <c r="J37" i="5"/>
  <c r="I37" i="5"/>
  <c r="H37" i="5"/>
  <c r="G37" i="5"/>
  <c r="F37" i="5"/>
  <c r="E37" i="5"/>
  <c r="D37" i="5"/>
  <c r="C37" i="5"/>
  <c r="B37" i="5"/>
  <c r="A37" i="5"/>
  <c r="AF36" i="5"/>
  <c r="AE36" i="5"/>
  <c r="AD36" i="5"/>
  <c r="AC36" i="5"/>
  <c r="AB36" i="5"/>
  <c r="Z36" i="5"/>
  <c r="X36" i="5"/>
  <c r="W36" i="5"/>
  <c r="V36" i="5"/>
  <c r="U36" i="5"/>
  <c r="T36" i="5"/>
  <c r="S36" i="5"/>
  <c r="Q36" i="5"/>
  <c r="P36" i="5"/>
  <c r="O36" i="5"/>
  <c r="M36" i="5"/>
  <c r="L36" i="5"/>
  <c r="K36" i="5"/>
  <c r="J36" i="5"/>
  <c r="I36" i="5"/>
  <c r="H36" i="5"/>
  <c r="G36" i="5"/>
  <c r="F36" i="5"/>
  <c r="E36" i="5"/>
  <c r="D36" i="5"/>
  <c r="C36" i="5"/>
  <c r="B36" i="5"/>
  <c r="A36" i="5"/>
  <c r="AF35" i="5"/>
  <c r="AE35" i="5"/>
  <c r="AD35" i="5"/>
  <c r="AC35" i="5"/>
  <c r="AB35" i="5"/>
  <c r="Z35" i="5"/>
  <c r="X35" i="5"/>
  <c r="W35" i="5"/>
  <c r="V35" i="5"/>
  <c r="U35" i="5"/>
  <c r="T35" i="5"/>
  <c r="S35" i="5"/>
  <c r="Q35" i="5"/>
  <c r="P35" i="5"/>
  <c r="O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  <c r="AF34" i="5"/>
  <c r="AE34" i="5"/>
  <c r="AD34" i="5"/>
  <c r="AC34" i="5"/>
  <c r="AB34" i="5"/>
  <c r="Z34" i="5"/>
  <c r="X34" i="5"/>
  <c r="W34" i="5"/>
  <c r="V34" i="5"/>
  <c r="U34" i="5"/>
  <c r="T34" i="5"/>
  <c r="S34" i="5"/>
  <c r="Q34" i="5"/>
  <c r="P34" i="5"/>
  <c r="O34" i="5"/>
  <c r="M34" i="5"/>
  <c r="L34" i="5"/>
  <c r="K34" i="5"/>
  <c r="J34" i="5"/>
  <c r="I34" i="5"/>
  <c r="H34" i="5"/>
  <c r="G34" i="5"/>
  <c r="F34" i="5"/>
  <c r="E34" i="5"/>
  <c r="D34" i="5"/>
  <c r="C34" i="5"/>
  <c r="B34" i="5"/>
  <c r="A34" i="5"/>
  <c r="AF33" i="5"/>
  <c r="AE33" i="5"/>
  <c r="AD33" i="5"/>
  <c r="AC33" i="5"/>
  <c r="AB33" i="5"/>
  <c r="Z33" i="5"/>
  <c r="X33" i="5"/>
  <c r="W33" i="5"/>
  <c r="V33" i="5"/>
  <c r="U33" i="5"/>
  <c r="T33" i="5"/>
  <c r="S33" i="5"/>
  <c r="Q33" i="5"/>
  <c r="P33" i="5"/>
  <c r="O33" i="5"/>
  <c r="M33" i="5"/>
  <c r="L33" i="5"/>
  <c r="K33" i="5"/>
  <c r="J33" i="5"/>
  <c r="I33" i="5"/>
  <c r="H33" i="5"/>
  <c r="G33" i="5"/>
  <c r="F33" i="5"/>
  <c r="E33" i="5"/>
  <c r="D33" i="5"/>
  <c r="C33" i="5"/>
  <c r="B33" i="5"/>
  <c r="A33" i="5"/>
  <c r="AF32" i="5"/>
  <c r="AE32" i="5"/>
  <c r="AD32" i="5"/>
  <c r="AC32" i="5"/>
  <c r="AB32" i="5"/>
  <c r="Z32" i="5"/>
  <c r="X32" i="5"/>
  <c r="W32" i="5"/>
  <c r="V32" i="5"/>
  <c r="U32" i="5"/>
  <c r="T32" i="5"/>
  <c r="S32" i="5"/>
  <c r="Q32" i="5"/>
  <c r="P32" i="5"/>
  <c r="O32" i="5"/>
  <c r="M32" i="5"/>
  <c r="L32" i="5"/>
  <c r="K32" i="5"/>
  <c r="J32" i="5"/>
  <c r="I32" i="5"/>
  <c r="H32" i="5"/>
  <c r="G32" i="5"/>
  <c r="F32" i="5"/>
  <c r="E32" i="5"/>
  <c r="D32" i="5"/>
  <c r="C32" i="5"/>
  <c r="B32" i="5"/>
  <c r="A32" i="5"/>
  <c r="AF31" i="5"/>
  <c r="AE31" i="5"/>
  <c r="AD31" i="5"/>
  <c r="AC31" i="5"/>
  <c r="AB31" i="5"/>
  <c r="Z31" i="5"/>
  <c r="X31" i="5"/>
  <c r="W31" i="5"/>
  <c r="V31" i="5"/>
  <c r="U31" i="5"/>
  <c r="T31" i="5"/>
  <c r="S31" i="5"/>
  <c r="Q31" i="5"/>
  <c r="P31" i="5"/>
  <c r="O31" i="5"/>
  <c r="M31" i="5"/>
  <c r="L31" i="5"/>
  <c r="K31" i="5"/>
  <c r="J31" i="5"/>
  <c r="I31" i="5"/>
  <c r="H31" i="5"/>
  <c r="G31" i="5"/>
  <c r="F31" i="5"/>
  <c r="E31" i="5"/>
  <c r="D31" i="5"/>
  <c r="C31" i="5"/>
  <c r="B31" i="5"/>
  <c r="A31" i="5"/>
  <c r="AF30" i="5"/>
  <c r="AE30" i="5"/>
  <c r="AD30" i="5"/>
  <c r="AC30" i="5"/>
  <c r="AB30" i="5"/>
  <c r="Z30" i="5"/>
  <c r="X30" i="5"/>
  <c r="W30" i="5"/>
  <c r="V30" i="5"/>
  <c r="U30" i="5"/>
  <c r="T30" i="5"/>
  <c r="S30" i="5"/>
  <c r="Q30" i="5"/>
  <c r="P30" i="5"/>
  <c r="O30" i="5"/>
  <c r="M30" i="5"/>
  <c r="L30" i="5"/>
  <c r="K30" i="5"/>
  <c r="J30" i="5"/>
  <c r="I30" i="5"/>
  <c r="H30" i="5"/>
  <c r="G30" i="5"/>
  <c r="F30" i="5"/>
  <c r="E30" i="5"/>
  <c r="D30" i="5"/>
  <c r="C30" i="5"/>
  <c r="B30" i="5"/>
  <c r="A30" i="5"/>
  <c r="AF29" i="5"/>
  <c r="AE29" i="5"/>
  <c r="AD29" i="5"/>
  <c r="AC29" i="5"/>
  <c r="AB29" i="5"/>
  <c r="Z29" i="5"/>
  <c r="X29" i="5"/>
  <c r="W29" i="5"/>
  <c r="V29" i="5"/>
  <c r="U29" i="5"/>
  <c r="T29" i="5"/>
  <c r="S29" i="5"/>
  <c r="Q29" i="5"/>
  <c r="P29" i="5"/>
  <c r="O29" i="5"/>
  <c r="M29" i="5"/>
  <c r="L29" i="5"/>
  <c r="K29" i="5"/>
  <c r="J29" i="5"/>
  <c r="I29" i="5"/>
  <c r="H29" i="5"/>
  <c r="G29" i="5"/>
  <c r="F29" i="5"/>
  <c r="E29" i="5"/>
  <c r="D29" i="5"/>
  <c r="C29" i="5"/>
  <c r="B29" i="5"/>
  <c r="A29" i="5"/>
  <c r="AF28" i="5"/>
  <c r="AE28" i="5"/>
  <c r="AD28" i="5"/>
  <c r="AC28" i="5"/>
  <c r="AB28" i="5"/>
  <c r="Z28" i="5"/>
  <c r="X28" i="5"/>
  <c r="W28" i="5"/>
  <c r="V28" i="5"/>
  <c r="U28" i="5"/>
  <c r="T28" i="5"/>
  <c r="S28" i="5"/>
  <c r="Q28" i="5"/>
  <c r="P28" i="5"/>
  <c r="O28" i="5"/>
  <c r="M28" i="5"/>
  <c r="L28" i="5"/>
  <c r="K28" i="5"/>
  <c r="J28" i="5"/>
  <c r="I28" i="5"/>
  <c r="H28" i="5"/>
  <c r="G28" i="5"/>
  <c r="F28" i="5"/>
  <c r="E28" i="5"/>
  <c r="D28" i="5"/>
  <c r="C28" i="5"/>
  <c r="B28" i="5"/>
  <c r="A28" i="5"/>
  <c r="AF27" i="5"/>
  <c r="AE27" i="5"/>
  <c r="AD27" i="5"/>
  <c r="AC27" i="5"/>
  <c r="AB27" i="5"/>
  <c r="Z27" i="5"/>
  <c r="X27" i="5"/>
  <c r="W27" i="5"/>
  <c r="V27" i="5"/>
  <c r="U27" i="5"/>
  <c r="T27" i="5"/>
  <c r="S27" i="5"/>
  <c r="Q27" i="5"/>
  <c r="P27" i="5"/>
  <c r="O27" i="5"/>
  <c r="M27" i="5"/>
  <c r="L27" i="5"/>
  <c r="K27" i="5"/>
  <c r="J27" i="5"/>
  <c r="I27" i="5"/>
  <c r="H27" i="5"/>
  <c r="G27" i="5"/>
  <c r="F27" i="5"/>
  <c r="E27" i="5"/>
  <c r="D27" i="5"/>
  <c r="C27" i="5"/>
  <c r="B27" i="5"/>
  <c r="A27" i="5"/>
  <c r="AF26" i="5"/>
  <c r="AE26" i="5"/>
  <c r="AD26" i="5"/>
  <c r="AC26" i="5"/>
  <c r="AB26" i="5"/>
  <c r="Z26" i="5"/>
  <c r="X26" i="5"/>
  <c r="W26" i="5"/>
  <c r="V26" i="5"/>
  <c r="U26" i="5"/>
  <c r="T26" i="5"/>
  <c r="S26" i="5"/>
  <c r="Q26" i="5"/>
  <c r="P26" i="5"/>
  <c r="O26" i="5"/>
  <c r="M26" i="5"/>
  <c r="L26" i="5"/>
  <c r="K26" i="5"/>
  <c r="J26" i="5"/>
  <c r="I26" i="5"/>
  <c r="H26" i="5"/>
  <c r="G26" i="5"/>
  <c r="F26" i="5"/>
  <c r="E26" i="5"/>
  <c r="D26" i="5"/>
  <c r="C26" i="5"/>
  <c r="B26" i="5"/>
  <c r="A26" i="5"/>
  <c r="AF25" i="5"/>
  <c r="AE25" i="5"/>
  <c r="AD25" i="5"/>
  <c r="AC25" i="5"/>
  <c r="AB25" i="5"/>
  <c r="Z25" i="5"/>
  <c r="X25" i="5"/>
  <c r="W25" i="5"/>
  <c r="V25" i="5"/>
  <c r="U25" i="5"/>
  <c r="T25" i="5"/>
  <c r="S25" i="5"/>
  <c r="Q25" i="5"/>
  <c r="P25" i="5"/>
  <c r="O25" i="5"/>
  <c r="M25" i="5"/>
  <c r="L25" i="5"/>
  <c r="K25" i="5"/>
  <c r="J25" i="5"/>
  <c r="I25" i="5"/>
  <c r="H25" i="5"/>
  <c r="G25" i="5"/>
  <c r="F25" i="5"/>
  <c r="E25" i="5"/>
  <c r="D25" i="5"/>
  <c r="C25" i="5"/>
  <c r="B25" i="5"/>
  <c r="A25" i="5"/>
  <c r="AF24" i="5"/>
  <c r="AE24" i="5"/>
  <c r="AD24" i="5"/>
  <c r="AC24" i="5"/>
  <c r="AB24" i="5"/>
  <c r="Z24" i="5"/>
  <c r="X24" i="5"/>
  <c r="W24" i="5"/>
  <c r="V24" i="5"/>
  <c r="U24" i="5"/>
  <c r="T24" i="5"/>
  <c r="S24" i="5"/>
  <c r="Q24" i="5"/>
  <c r="P24" i="5"/>
  <c r="O24" i="5"/>
  <c r="M24" i="5"/>
  <c r="L24" i="5"/>
  <c r="K24" i="5"/>
  <c r="J24" i="5"/>
  <c r="I24" i="5"/>
  <c r="H24" i="5"/>
  <c r="G24" i="5"/>
  <c r="F24" i="5"/>
  <c r="E24" i="5"/>
  <c r="D24" i="5"/>
  <c r="C24" i="5"/>
  <c r="B24" i="5"/>
  <c r="A24" i="5"/>
  <c r="AF23" i="5"/>
  <c r="AE23" i="5"/>
  <c r="AD23" i="5"/>
  <c r="AC23" i="5"/>
  <c r="AB23" i="5"/>
  <c r="Z23" i="5"/>
  <c r="X23" i="5"/>
  <c r="W23" i="5"/>
  <c r="V23" i="5"/>
  <c r="U23" i="5"/>
  <c r="T23" i="5"/>
  <c r="S23" i="5"/>
  <c r="Q23" i="5"/>
  <c r="P23" i="5"/>
  <c r="O23" i="5"/>
  <c r="M23" i="5"/>
  <c r="L23" i="5"/>
  <c r="K23" i="5"/>
  <c r="J23" i="5"/>
  <c r="I23" i="5"/>
  <c r="H23" i="5"/>
  <c r="G23" i="5"/>
  <c r="F23" i="5"/>
  <c r="E23" i="5"/>
  <c r="D23" i="5"/>
  <c r="C23" i="5"/>
  <c r="B23" i="5"/>
  <c r="A23" i="5"/>
  <c r="AF22" i="5"/>
  <c r="AE22" i="5"/>
  <c r="AD22" i="5"/>
  <c r="AC22" i="5"/>
  <c r="AB22" i="5"/>
  <c r="Z22" i="5"/>
  <c r="X22" i="5"/>
  <c r="W22" i="5"/>
  <c r="V22" i="5"/>
  <c r="U22" i="5"/>
  <c r="T22" i="5"/>
  <c r="S22" i="5"/>
  <c r="Q22" i="5"/>
  <c r="P22" i="5"/>
  <c r="O22" i="5"/>
  <c r="M22" i="5"/>
  <c r="L22" i="5"/>
  <c r="K22" i="5"/>
  <c r="J22" i="5"/>
  <c r="I22" i="5"/>
  <c r="H22" i="5"/>
  <c r="G22" i="5"/>
  <c r="F22" i="5"/>
  <c r="E22" i="5"/>
  <c r="D22" i="5"/>
  <c r="C22" i="5"/>
  <c r="B22" i="5"/>
  <c r="A22" i="5"/>
  <c r="AF21" i="5"/>
  <c r="AE21" i="5"/>
  <c r="AD21" i="5"/>
  <c r="AC21" i="5"/>
  <c r="AB21" i="5"/>
  <c r="Z21" i="5"/>
  <c r="X21" i="5"/>
  <c r="W21" i="5"/>
  <c r="V21" i="5"/>
  <c r="U21" i="5"/>
  <c r="T21" i="5"/>
  <c r="S21" i="5"/>
  <c r="Q21" i="5"/>
  <c r="P21" i="5"/>
  <c r="O21" i="5"/>
  <c r="M21" i="5"/>
  <c r="L21" i="5"/>
  <c r="K21" i="5"/>
  <c r="J21" i="5"/>
  <c r="I21" i="5"/>
  <c r="H21" i="5"/>
  <c r="G21" i="5"/>
  <c r="F21" i="5"/>
  <c r="E21" i="5"/>
  <c r="D21" i="5"/>
  <c r="C21" i="5"/>
  <c r="B21" i="5"/>
  <c r="A21" i="5"/>
  <c r="AF20" i="5"/>
  <c r="AE20" i="5"/>
  <c r="AD20" i="5"/>
  <c r="AC20" i="5"/>
  <c r="AB20" i="5"/>
  <c r="Z20" i="5"/>
  <c r="X20" i="5"/>
  <c r="W20" i="5"/>
  <c r="V20" i="5"/>
  <c r="U20" i="5"/>
  <c r="T20" i="5"/>
  <c r="S20" i="5"/>
  <c r="Q20" i="5"/>
  <c r="P20" i="5"/>
  <c r="O20" i="5"/>
  <c r="M20" i="5"/>
  <c r="L20" i="5"/>
  <c r="K20" i="5"/>
  <c r="J20" i="5"/>
  <c r="I20" i="5"/>
  <c r="H20" i="5"/>
  <c r="G20" i="5"/>
  <c r="F20" i="5"/>
  <c r="E20" i="5"/>
  <c r="D20" i="5"/>
  <c r="C20" i="5"/>
  <c r="B20" i="5"/>
  <c r="A20" i="5"/>
  <c r="AF19" i="5"/>
  <c r="AE19" i="5"/>
  <c r="AD19" i="5"/>
  <c r="AC19" i="5"/>
  <c r="AB19" i="5"/>
  <c r="Z19" i="5"/>
  <c r="X19" i="5"/>
  <c r="W19" i="5"/>
  <c r="V19" i="5"/>
  <c r="U19" i="5"/>
  <c r="T19" i="5"/>
  <c r="S19" i="5"/>
  <c r="Q19" i="5"/>
  <c r="P19" i="5"/>
  <c r="O19" i="5"/>
  <c r="M19" i="5"/>
  <c r="L19" i="5"/>
  <c r="K19" i="5"/>
  <c r="J19" i="5"/>
  <c r="I19" i="5"/>
  <c r="H19" i="5"/>
  <c r="G19" i="5"/>
  <c r="F19" i="5"/>
  <c r="E19" i="5"/>
  <c r="D19" i="5"/>
  <c r="C19" i="5"/>
  <c r="B19" i="5"/>
  <c r="A19" i="5"/>
  <c r="AF18" i="5"/>
  <c r="AE18" i="5"/>
  <c r="AD18" i="5"/>
  <c r="AC18" i="5"/>
  <c r="AB18" i="5"/>
  <c r="Z18" i="5"/>
  <c r="X18" i="5"/>
  <c r="W18" i="5"/>
  <c r="V18" i="5"/>
  <c r="U18" i="5"/>
  <c r="T18" i="5"/>
  <c r="S18" i="5"/>
  <c r="Q18" i="5"/>
  <c r="P18" i="5"/>
  <c r="O18" i="5"/>
  <c r="M18" i="5"/>
  <c r="L18" i="5"/>
  <c r="K18" i="5"/>
  <c r="J18" i="5"/>
  <c r="I18" i="5"/>
  <c r="H18" i="5"/>
  <c r="G18" i="5"/>
  <c r="F18" i="5"/>
  <c r="E18" i="5"/>
  <c r="D18" i="5"/>
  <c r="C18" i="5"/>
  <c r="B18" i="5"/>
  <c r="A18" i="5"/>
  <c r="AF17" i="5"/>
  <c r="AE17" i="5"/>
  <c r="AD17" i="5"/>
  <c r="AC17" i="5"/>
  <c r="AB17" i="5"/>
  <c r="Z17" i="5"/>
  <c r="X17" i="5"/>
  <c r="W17" i="5"/>
  <c r="V17" i="5"/>
  <c r="U17" i="5"/>
  <c r="T17" i="5"/>
  <c r="S17" i="5"/>
  <c r="Q17" i="5"/>
  <c r="P17" i="5"/>
  <c r="O17" i="5"/>
  <c r="M17" i="5"/>
  <c r="L17" i="5"/>
  <c r="K17" i="5"/>
  <c r="J17" i="5"/>
  <c r="I17" i="5"/>
  <c r="H17" i="5"/>
  <c r="G17" i="5"/>
  <c r="F17" i="5"/>
  <c r="E17" i="5"/>
  <c r="D17" i="5"/>
  <c r="C17" i="5"/>
  <c r="B17" i="5"/>
  <c r="A17" i="5"/>
  <c r="AF16" i="5"/>
  <c r="AE16" i="5"/>
  <c r="AD16" i="5"/>
  <c r="AC16" i="5"/>
  <c r="AB16" i="5"/>
  <c r="Z16" i="5"/>
  <c r="X16" i="5"/>
  <c r="W16" i="5"/>
  <c r="V16" i="5"/>
  <c r="U16" i="5"/>
  <c r="T16" i="5"/>
  <c r="S16" i="5"/>
  <c r="Q16" i="5"/>
  <c r="P16" i="5"/>
  <c r="O16" i="5"/>
  <c r="M16" i="5"/>
  <c r="L16" i="5"/>
  <c r="K16" i="5"/>
  <c r="J16" i="5"/>
  <c r="I16" i="5"/>
  <c r="H16" i="5"/>
  <c r="G16" i="5"/>
  <c r="F16" i="5"/>
  <c r="E16" i="5"/>
  <c r="D16" i="5"/>
  <c r="C16" i="5"/>
  <c r="B16" i="5"/>
  <c r="A16" i="5"/>
  <c r="AF15" i="5"/>
  <c r="AE15" i="5"/>
  <c r="AD15" i="5"/>
  <c r="AC15" i="5"/>
  <c r="AB15" i="5"/>
  <c r="Z15" i="5"/>
  <c r="X15" i="5"/>
  <c r="W15" i="5"/>
  <c r="V15" i="5"/>
  <c r="U15" i="5"/>
  <c r="T15" i="5"/>
  <c r="S15" i="5"/>
  <c r="Q15" i="5"/>
  <c r="P15" i="5"/>
  <c r="O15" i="5"/>
  <c r="M15" i="5"/>
  <c r="L15" i="5"/>
  <c r="K15" i="5"/>
  <c r="J15" i="5"/>
  <c r="I15" i="5"/>
  <c r="H15" i="5"/>
  <c r="G15" i="5"/>
  <c r="F15" i="5"/>
  <c r="E15" i="5"/>
  <c r="D15" i="5"/>
  <c r="C15" i="5"/>
  <c r="B15" i="5"/>
  <c r="A15" i="5"/>
  <c r="AF14" i="5"/>
  <c r="AE14" i="5"/>
  <c r="AD14" i="5"/>
  <c r="AC14" i="5"/>
  <c r="AB14" i="5"/>
  <c r="Z14" i="5"/>
  <c r="X14" i="5"/>
  <c r="W14" i="5"/>
  <c r="V14" i="5"/>
  <c r="U14" i="5"/>
  <c r="T14" i="5"/>
  <c r="S14" i="5"/>
  <c r="Q14" i="5"/>
  <c r="P14" i="5"/>
  <c r="O14" i="5"/>
  <c r="M14" i="5"/>
  <c r="L14" i="5"/>
  <c r="K14" i="5"/>
  <c r="J14" i="5"/>
  <c r="I14" i="5"/>
  <c r="H14" i="5"/>
  <c r="G14" i="5"/>
  <c r="F14" i="5"/>
  <c r="E14" i="5"/>
  <c r="D14" i="5"/>
  <c r="C14" i="5"/>
  <c r="B14" i="5"/>
  <c r="A14" i="5"/>
  <c r="AF13" i="5"/>
  <c r="AE13" i="5"/>
  <c r="AD13" i="5"/>
  <c r="AC13" i="5"/>
  <c r="AB13" i="5"/>
  <c r="Z13" i="5"/>
  <c r="X13" i="5"/>
  <c r="W13" i="5"/>
  <c r="V13" i="5"/>
  <c r="U13" i="5"/>
  <c r="T13" i="5"/>
  <c r="S13" i="5"/>
  <c r="Q13" i="5"/>
  <c r="P13" i="5"/>
  <c r="O13" i="5"/>
  <c r="M13" i="5"/>
  <c r="L13" i="5"/>
  <c r="K13" i="5"/>
  <c r="J13" i="5"/>
  <c r="I13" i="5"/>
  <c r="H13" i="5"/>
  <c r="G13" i="5"/>
  <c r="F13" i="5"/>
  <c r="E13" i="5"/>
  <c r="D13" i="5"/>
  <c r="C13" i="5"/>
  <c r="B13" i="5"/>
  <c r="A13" i="5"/>
  <c r="AF12" i="5"/>
  <c r="AE12" i="5"/>
  <c r="AD12" i="5"/>
  <c r="AC12" i="5"/>
  <c r="AB12" i="5"/>
  <c r="Z12" i="5"/>
  <c r="X12" i="5"/>
  <c r="W12" i="5"/>
  <c r="V12" i="5"/>
  <c r="U12" i="5"/>
  <c r="T12" i="5"/>
  <c r="S12" i="5"/>
  <c r="Q12" i="5"/>
  <c r="P12" i="5"/>
  <c r="O12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AF11" i="5"/>
  <c r="AE11" i="5"/>
  <c r="AD11" i="5"/>
  <c r="AC11" i="5"/>
  <c r="AB11" i="5"/>
  <c r="Z11" i="5"/>
  <c r="X11" i="5"/>
  <c r="W11" i="5"/>
  <c r="V11" i="5"/>
  <c r="U11" i="5"/>
  <c r="T11" i="5"/>
  <c r="S11" i="5"/>
  <c r="Q11" i="5"/>
  <c r="P11" i="5"/>
  <c r="O11" i="5"/>
  <c r="M11" i="5"/>
  <c r="L11" i="5"/>
  <c r="K11" i="5"/>
  <c r="J11" i="5"/>
  <c r="I11" i="5"/>
  <c r="H11" i="5"/>
  <c r="G11" i="5"/>
  <c r="F11" i="5"/>
  <c r="E11" i="5"/>
  <c r="D11" i="5"/>
  <c r="C11" i="5"/>
  <c r="B11" i="5"/>
  <c r="A11" i="5"/>
  <c r="AF10" i="5"/>
  <c r="AE10" i="5"/>
  <c r="AD10" i="5"/>
  <c r="AC10" i="5"/>
  <c r="AB10" i="5"/>
  <c r="Z10" i="5"/>
  <c r="X10" i="5"/>
  <c r="W10" i="5"/>
  <c r="V10" i="5"/>
  <c r="U10" i="5"/>
  <c r="T10" i="5"/>
  <c r="S10" i="5"/>
  <c r="Q10" i="5"/>
  <c r="P10" i="5"/>
  <c r="O10" i="5"/>
  <c r="M10" i="5"/>
  <c r="L10" i="5"/>
  <c r="K10" i="5"/>
  <c r="J10" i="5"/>
  <c r="I10" i="5"/>
  <c r="H10" i="5"/>
  <c r="G10" i="5"/>
  <c r="F10" i="5"/>
  <c r="E10" i="5"/>
  <c r="D10" i="5"/>
  <c r="C10" i="5"/>
  <c r="B10" i="5"/>
  <c r="A10" i="5"/>
  <c r="AF9" i="5"/>
  <c r="AE9" i="5"/>
  <c r="AD9" i="5"/>
  <c r="AC9" i="5"/>
  <c r="AB9" i="5"/>
  <c r="Z9" i="5"/>
  <c r="X9" i="5"/>
  <c r="W9" i="5"/>
  <c r="V9" i="5"/>
  <c r="U9" i="5"/>
  <c r="T9" i="5"/>
  <c r="S9" i="5"/>
  <c r="Q9" i="5"/>
  <c r="P9" i="5"/>
  <c r="O9" i="5"/>
  <c r="M9" i="5"/>
  <c r="L9" i="5"/>
  <c r="K9" i="5"/>
  <c r="J9" i="5"/>
  <c r="I9" i="5"/>
  <c r="H9" i="5"/>
  <c r="G9" i="5"/>
  <c r="F9" i="5"/>
  <c r="E9" i="5"/>
  <c r="D9" i="5"/>
  <c r="C9" i="5"/>
  <c r="B9" i="5"/>
  <c r="A9" i="5"/>
  <c r="AF8" i="5"/>
  <c r="AE8" i="5"/>
  <c r="AD8" i="5"/>
  <c r="AC8" i="5"/>
  <c r="AB8" i="5"/>
  <c r="Z8" i="5"/>
  <c r="X8" i="5"/>
  <c r="W8" i="5"/>
  <c r="V8" i="5"/>
  <c r="U8" i="5"/>
  <c r="T8" i="5"/>
  <c r="S8" i="5"/>
  <c r="Q8" i="5"/>
  <c r="P8" i="5"/>
  <c r="O8" i="5"/>
  <c r="M8" i="5"/>
  <c r="L8" i="5"/>
  <c r="K8" i="5"/>
  <c r="J8" i="5"/>
  <c r="I8" i="5"/>
  <c r="H8" i="5"/>
  <c r="G8" i="5"/>
  <c r="F8" i="5"/>
  <c r="E8" i="5"/>
  <c r="D8" i="5"/>
  <c r="C8" i="5"/>
  <c r="B8" i="5"/>
  <c r="A8" i="5"/>
  <c r="AF7" i="5"/>
  <c r="AE7" i="5"/>
  <c r="AD7" i="5"/>
  <c r="AC7" i="5"/>
  <c r="AB7" i="5"/>
  <c r="Z7" i="5"/>
  <c r="X7" i="5"/>
  <c r="W7" i="5"/>
  <c r="V7" i="5"/>
  <c r="U7" i="5"/>
  <c r="T7" i="5"/>
  <c r="S7" i="5"/>
  <c r="Q7" i="5"/>
  <c r="P7" i="5"/>
  <c r="O7" i="5"/>
  <c r="M7" i="5"/>
  <c r="L7" i="5"/>
  <c r="K7" i="5"/>
  <c r="J7" i="5"/>
  <c r="I7" i="5"/>
  <c r="H7" i="5"/>
  <c r="G7" i="5"/>
  <c r="F7" i="5"/>
  <c r="E7" i="5"/>
  <c r="D7" i="5"/>
  <c r="C7" i="5"/>
  <c r="B7" i="5"/>
  <c r="A7" i="5"/>
  <c r="AF6" i="5"/>
  <c r="AE6" i="5"/>
  <c r="AD6" i="5"/>
  <c r="AC6" i="5"/>
  <c r="AB6" i="5"/>
  <c r="Z6" i="5"/>
  <c r="X6" i="5"/>
  <c r="W6" i="5"/>
  <c r="V6" i="5"/>
  <c r="U6" i="5"/>
  <c r="T6" i="5"/>
  <c r="S6" i="5"/>
  <c r="Q6" i="5"/>
  <c r="P6" i="5"/>
  <c r="O6" i="5"/>
  <c r="M6" i="5"/>
  <c r="L6" i="5"/>
  <c r="K6" i="5"/>
  <c r="J6" i="5"/>
  <c r="I6" i="5"/>
  <c r="H6" i="5"/>
  <c r="G6" i="5"/>
  <c r="F6" i="5"/>
  <c r="E6" i="5"/>
  <c r="D6" i="5"/>
  <c r="C6" i="5"/>
  <c r="B6" i="5"/>
  <c r="A6" i="5"/>
  <c r="AF5" i="5"/>
  <c r="AE5" i="5"/>
  <c r="AD5" i="5"/>
  <c r="AC5" i="5"/>
  <c r="AB5" i="5"/>
  <c r="Z5" i="5"/>
  <c r="X5" i="5"/>
  <c r="W5" i="5"/>
  <c r="V5" i="5"/>
  <c r="U5" i="5"/>
  <c r="T5" i="5"/>
  <c r="S5" i="5"/>
  <c r="Q5" i="5"/>
  <c r="P5" i="5"/>
  <c r="O5" i="5"/>
  <c r="M5" i="5"/>
  <c r="L5" i="5"/>
  <c r="K5" i="5"/>
  <c r="J5" i="5"/>
  <c r="I5" i="5"/>
  <c r="H5" i="5"/>
  <c r="G5" i="5"/>
  <c r="F5" i="5"/>
  <c r="E5" i="5"/>
  <c r="D5" i="5"/>
  <c r="C5" i="5"/>
  <c r="B5" i="5"/>
  <c r="A5" i="5"/>
  <c r="AF4" i="5"/>
  <c r="AE4" i="5"/>
  <c r="AD4" i="5"/>
  <c r="AC4" i="5"/>
  <c r="AB4" i="5"/>
  <c r="Z4" i="5"/>
  <c r="X4" i="5"/>
  <c r="W4" i="5"/>
  <c r="V4" i="5"/>
  <c r="U4" i="5"/>
  <c r="T4" i="5"/>
  <c r="S4" i="5"/>
  <c r="Q4" i="5"/>
  <c r="P4" i="5"/>
  <c r="O4" i="5"/>
  <c r="M4" i="5"/>
  <c r="L4" i="5"/>
  <c r="K4" i="5"/>
  <c r="J4" i="5"/>
  <c r="I4" i="5"/>
  <c r="H4" i="5"/>
  <c r="G4" i="5"/>
  <c r="F4" i="5"/>
  <c r="E4" i="5"/>
  <c r="D4" i="5"/>
  <c r="C4" i="5"/>
  <c r="B4" i="5"/>
  <c r="A4" i="5"/>
  <c r="AF3" i="5"/>
  <c r="AE3" i="5"/>
  <c r="AD3" i="5"/>
  <c r="AC3" i="5"/>
  <c r="AB3" i="5"/>
  <c r="Z3" i="5"/>
  <c r="X3" i="5"/>
  <c r="W3" i="5"/>
  <c r="V3" i="5"/>
  <c r="U3" i="5"/>
  <c r="T3" i="5"/>
  <c r="S3" i="5"/>
  <c r="Q3" i="5"/>
  <c r="P3" i="5"/>
  <c r="O3" i="5"/>
  <c r="M3" i="5"/>
  <c r="L3" i="5"/>
  <c r="K3" i="5"/>
  <c r="J3" i="5"/>
  <c r="I3" i="5"/>
  <c r="H3" i="5"/>
  <c r="G3" i="5"/>
  <c r="F3" i="5"/>
  <c r="E3" i="5"/>
  <c r="D3" i="5"/>
  <c r="C3" i="5"/>
  <c r="B3" i="5"/>
  <c r="A3" i="5"/>
  <c r="AF2" i="5"/>
  <c r="AE2" i="5"/>
  <c r="AD2" i="5"/>
  <c r="AC2" i="5"/>
  <c r="AB2" i="5"/>
  <c r="Z2" i="5"/>
  <c r="X2" i="5"/>
  <c r="W2" i="5"/>
  <c r="V2" i="5"/>
  <c r="U2" i="5"/>
  <c r="T2" i="5"/>
  <c r="S2" i="5"/>
  <c r="Q2" i="5"/>
  <c r="P2" i="5"/>
  <c r="O2" i="5"/>
  <c r="M2" i="5"/>
  <c r="L2" i="5"/>
  <c r="K2" i="5"/>
  <c r="J2" i="5"/>
  <c r="I2" i="5"/>
  <c r="H2" i="5"/>
  <c r="G2" i="5"/>
  <c r="F2" i="5"/>
  <c r="E2" i="5"/>
  <c r="D2" i="5"/>
  <c r="C2" i="5"/>
  <c r="B2" i="5"/>
  <c r="A2" i="5"/>
  <c r="R19" i="4"/>
  <c r="R55" i="5" s="1"/>
  <c r="N19" i="4"/>
  <c r="N55" i="5" s="1"/>
  <c r="R18" i="4"/>
  <c r="R54" i="5" s="1"/>
  <c r="N18" i="4"/>
  <c r="N54" i="5" s="1"/>
  <c r="R17" i="4"/>
  <c r="R53" i="5" s="1"/>
  <c r="N17" i="4"/>
  <c r="N53" i="5" s="1"/>
  <c r="R16" i="4"/>
  <c r="R52" i="5" s="1"/>
  <c r="N16" i="4"/>
  <c r="N52" i="5" s="1"/>
  <c r="R15" i="4"/>
  <c r="R51" i="5" s="1"/>
  <c r="N15" i="4"/>
  <c r="N51" i="5" s="1"/>
  <c r="R14" i="4"/>
  <c r="R50" i="5" s="1"/>
  <c r="N14" i="4"/>
  <c r="N50" i="5" s="1"/>
  <c r="R13" i="4"/>
  <c r="R49" i="5" s="1"/>
  <c r="N13" i="4"/>
  <c r="N49" i="5" s="1"/>
  <c r="R12" i="4"/>
  <c r="R48" i="5" s="1"/>
  <c r="N12" i="4"/>
  <c r="N48" i="5" s="1"/>
  <c r="R11" i="4"/>
  <c r="R47" i="5" s="1"/>
  <c r="N11" i="4"/>
  <c r="N47" i="5" s="1"/>
  <c r="R10" i="4"/>
  <c r="R46" i="5" s="1"/>
  <c r="N10" i="4"/>
  <c r="N46" i="5" s="1"/>
  <c r="R9" i="4"/>
  <c r="R45" i="5" s="1"/>
  <c r="N9" i="4"/>
  <c r="N45" i="5" s="1"/>
  <c r="R8" i="4"/>
  <c r="R44" i="5" s="1"/>
  <c r="N8" i="4"/>
  <c r="N44" i="5" s="1"/>
  <c r="R7" i="4"/>
  <c r="R43" i="5" s="1"/>
  <c r="N7" i="4"/>
  <c r="N43" i="5" s="1"/>
  <c r="Y42" i="5"/>
  <c r="R6" i="4"/>
  <c r="R42" i="5" s="1"/>
  <c r="N6" i="4"/>
  <c r="N42" i="5" s="1"/>
  <c r="R5" i="4"/>
  <c r="R41" i="5" s="1"/>
  <c r="N5" i="4"/>
  <c r="N41" i="5" s="1"/>
  <c r="R4" i="4"/>
  <c r="R40" i="5" s="1"/>
  <c r="N4" i="4"/>
  <c r="N40" i="5" s="1"/>
  <c r="R3" i="4"/>
  <c r="R39" i="5" s="1"/>
  <c r="N3" i="4"/>
  <c r="N39" i="5" s="1"/>
  <c r="Y38" i="5"/>
  <c r="R2" i="4"/>
  <c r="R38" i="5" s="1"/>
  <c r="N2" i="4"/>
  <c r="N38" i="5" s="1"/>
  <c r="R19" i="3"/>
  <c r="R37" i="5" s="1"/>
  <c r="N19" i="3"/>
  <c r="N37" i="5" s="1"/>
  <c r="Y36" i="5"/>
  <c r="R18" i="3"/>
  <c r="R36" i="5" s="1"/>
  <c r="N18" i="3"/>
  <c r="N36" i="5" s="1"/>
  <c r="R17" i="3"/>
  <c r="R35" i="5" s="1"/>
  <c r="N17" i="3"/>
  <c r="N35" i="5" s="1"/>
  <c r="R16" i="3"/>
  <c r="R34" i="5" s="1"/>
  <c r="N16" i="3"/>
  <c r="N34" i="5" s="1"/>
  <c r="R15" i="3"/>
  <c r="R33" i="5" s="1"/>
  <c r="N15" i="3"/>
  <c r="N33" i="5" s="1"/>
  <c r="R14" i="3"/>
  <c r="R32" i="5" s="1"/>
  <c r="N14" i="3"/>
  <c r="N32" i="5" s="1"/>
  <c r="R13" i="3"/>
  <c r="R31" i="5" s="1"/>
  <c r="N13" i="3"/>
  <c r="N31" i="5" s="1"/>
  <c r="R12" i="3"/>
  <c r="R30" i="5" s="1"/>
  <c r="N12" i="3"/>
  <c r="N30" i="5" s="1"/>
  <c r="R11" i="3"/>
  <c r="R29" i="5" s="1"/>
  <c r="N11" i="3"/>
  <c r="N29" i="5" s="1"/>
  <c r="R10" i="3"/>
  <c r="R28" i="5" s="1"/>
  <c r="N10" i="3"/>
  <c r="N28" i="5" s="1"/>
  <c r="R9" i="3"/>
  <c r="R27" i="5" s="1"/>
  <c r="N9" i="3"/>
  <c r="N27" i="5" s="1"/>
  <c r="R8" i="3"/>
  <c r="R26" i="5" s="1"/>
  <c r="N8" i="3"/>
  <c r="N26" i="5" s="1"/>
  <c r="R7" i="3"/>
  <c r="R25" i="5" s="1"/>
  <c r="N7" i="3"/>
  <c r="N25" i="5" s="1"/>
  <c r="Y24" i="5"/>
  <c r="R6" i="3"/>
  <c r="R24" i="5" s="1"/>
  <c r="N6" i="3"/>
  <c r="N24" i="5" s="1"/>
  <c r="R5" i="3"/>
  <c r="R23" i="5" s="1"/>
  <c r="N5" i="3"/>
  <c r="N23" i="5" s="1"/>
  <c r="R4" i="3"/>
  <c r="R22" i="5" s="1"/>
  <c r="N4" i="3"/>
  <c r="N22" i="5" s="1"/>
  <c r="Y21" i="5"/>
  <c r="R3" i="3"/>
  <c r="R21" i="5" s="1"/>
  <c r="N3" i="3"/>
  <c r="N21" i="5" s="1"/>
  <c r="R2" i="3"/>
  <c r="R20" i="5" s="1"/>
  <c r="N2" i="3"/>
  <c r="N20" i="5" s="1"/>
  <c r="R19" i="2"/>
  <c r="R19" i="5" s="1"/>
  <c r="N19" i="2"/>
  <c r="N19" i="5" s="1"/>
  <c r="AA18" i="2"/>
  <c r="AA18" i="5" s="1"/>
  <c r="R18" i="2"/>
  <c r="R18" i="5" s="1"/>
  <c r="N18" i="2"/>
  <c r="N18" i="5" s="1"/>
  <c r="R17" i="2"/>
  <c r="R17" i="5" s="1"/>
  <c r="N17" i="2"/>
  <c r="N17" i="5" s="1"/>
  <c r="R16" i="2"/>
  <c r="R16" i="5" s="1"/>
  <c r="N16" i="2"/>
  <c r="N16" i="5" s="1"/>
  <c r="R15" i="2"/>
  <c r="R15" i="5" s="1"/>
  <c r="N15" i="2"/>
  <c r="N15" i="5" s="1"/>
  <c r="R14" i="2"/>
  <c r="R14" i="5" s="1"/>
  <c r="N14" i="2"/>
  <c r="N14" i="5" s="1"/>
  <c r="Y13" i="5"/>
  <c r="R13" i="2"/>
  <c r="R13" i="5" s="1"/>
  <c r="N13" i="2"/>
  <c r="N13" i="5" s="1"/>
  <c r="R12" i="2"/>
  <c r="R12" i="5" s="1"/>
  <c r="N12" i="2"/>
  <c r="N12" i="5" s="1"/>
  <c r="Y11" i="5"/>
  <c r="R11" i="2"/>
  <c r="R11" i="5" s="1"/>
  <c r="N11" i="2"/>
  <c r="N11" i="5" s="1"/>
  <c r="Y10" i="5"/>
  <c r="R10" i="2"/>
  <c r="R10" i="5" s="1"/>
  <c r="N10" i="2"/>
  <c r="N10" i="5" s="1"/>
  <c r="Y9" i="5"/>
  <c r="R9" i="2"/>
  <c r="R9" i="5" s="1"/>
  <c r="N9" i="2"/>
  <c r="N9" i="5" s="1"/>
  <c r="R8" i="2"/>
  <c r="R8" i="5" s="1"/>
  <c r="N8" i="2"/>
  <c r="N8" i="5" s="1"/>
  <c r="R7" i="2"/>
  <c r="R7" i="5" s="1"/>
  <c r="N7" i="2"/>
  <c r="N7" i="5" s="1"/>
  <c r="R6" i="2"/>
  <c r="R6" i="5" s="1"/>
  <c r="N6" i="2"/>
  <c r="N6" i="5" s="1"/>
  <c r="R5" i="2"/>
  <c r="R5" i="5" s="1"/>
  <c r="N5" i="2"/>
  <c r="N5" i="5" s="1"/>
  <c r="Y4" i="5"/>
  <c r="R4" i="2"/>
  <c r="R4" i="5" s="1"/>
  <c r="N4" i="2"/>
  <c r="N4" i="5" s="1"/>
  <c r="Y3" i="5"/>
  <c r="R3" i="2"/>
  <c r="R3" i="5" s="1"/>
  <c r="N3" i="2"/>
  <c r="N3" i="5" s="1"/>
  <c r="R2" i="2"/>
  <c r="R2" i="5" s="1"/>
  <c r="N2" i="2"/>
  <c r="N2" i="5" s="1"/>
  <c r="AA8" i="3" l="1"/>
  <c r="AA26" i="5" s="1"/>
  <c r="AA5" i="4"/>
  <c r="AA41" i="5" s="1"/>
  <c r="AA11" i="2"/>
  <c r="AA11" i="5" s="1"/>
  <c r="AA16" i="3"/>
  <c r="AA34" i="5" s="1"/>
  <c r="AA5" i="2"/>
  <c r="AA5" i="5" s="1"/>
  <c r="AA10" i="3"/>
  <c r="AA28" i="5" s="1"/>
  <c r="AA11" i="4"/>
  <c r="AA47" i="5" s="1"/>
  <c r="AA19" i="4"/>
  <c r="AA55" i="5" s="1"/>
  <c r="AA13" i="2"/>
  <c r="AA13" i="5" s="1"/>
  <c r="AA2" i="4"/>
  <c r="AA38" i="5" s="1"/>
  <c r="AA13" i="4"/>
  <c r="AA49" i="5" s="1"/>
  <c r="AA2" i="2"/>
  <c r="AA2" i="5" s="1"/>
  <c r="AA7" i="3"/>
  <c r="AA25" i="5" s="1"/>
  <c r="AA14" i="3"/>
  <c r="AA32" i="5" s="1"/>
  <c r="AA14" i="2"/>
  <c r="AA14" i="5" s="1"/>
  <c r="AA14" i="4"/>
  <c r="AA50" i="5" s="1"/>
  <c r="AA19" i="2"/>
  <c r="AA19" i="5" s="1"/>
  <c r="AA19" i="3"/>
  <c r="AA37" i="5" s="1"/>
  <c r="AA8" i="2"/>
  <c r="AA8" i="5" s="1"/>
  <c r="AA13" i="3"/>
  <c r="AA31" i="5" s="1"/>
  <c r="AA8" i="4"/>
  <c r="AA44" i="5" s="1"/>
  <c r="AA4" i="3"/>
  <c r="AA22" i="5" s="1"/>
  <c r="AA17" i="3"/>
  <c r="AA35" i="5" s="1"/>
  <c r="AA16" i="2"/>
  <c r="AA16" i="5" s="1"/>
  <c r="AA11" i="3"/>
  <c r="AA29" i="5" s="1"/>
  <c r="AA16" i="4"/>
  <c r="AA52" i="5" s="1"/>
  <c r="AA5" i="3"/>
  <c r="AA23" i="5" s="1"/>
  <c r="AA10" i="4"/>
  <c r="AA46" i="5" s="1"/>
  <c r="AA2" i="3"/>
  <c r="AA20" i="5" s="1"/>
  <c r="AA10" i="2"/>
  <c r="AA10" i="5" s="1"/>
  <c r="AA7" i="2"/>
  <c r="AA7" i="5" s="1"/>
  <c r="AA7" i="4"/>
  <c r="AA43" i="5" s="1"/>
  <c r="AA4" i="2"/>
  <c r="AA4" i="5" s="1"/>
  <c r="AA17" i="2"/>
  <c r="AA17" i="5" s="1"/>
  <c r="AA4" i="4"/>
  <c r="AA40" i="5" s="1"/>
  <c r="AA17" i="4"/>
  <c r="AA53" i="5" s="1"/>
  <c r="AA3" i="2"/>
  <c r="AA3" i="5" s="1"/>
  <c r="AA9" i="2"/>
  <c r="AA9" i="5" s="1"/>
  <c r="AA15" i="2"/>
  <c r="AA15" i="5" s="1"/>
  <c r="AA3" i="3"/>
  <c r="AA21" i="5" s="1"/>
  <c r="AA6" i="3"/>
  <c r="AA24" i="5" s="1"/>
  <c r="AA9" i="3"/>
  <c r="AA27" i="5" s="1"/>
  <c r="AA18" i="4"/>
  <c r="AA54" i="5" s="1"/>
  <c r="AA12" i="3"/>
  <c r="AA30" i="5" s="1"/>
  <c r="AA6" i="2"/>
  <c r="AA6" i="5" s="1"/>
  <c r="AA6" i="4"/>
  <c r="AA42" i="5" s="1"/>
  <c r="AA15" i="4"/>
  <c r="AA51" i="5" s="1"/>
  <c r="AA12" i="4"/>
  <c r="AA48" i="5" s="1"/>
  <c r="AA18" i="3"/>
  <c r="AA36" i="5" s="1"/>
  <c r="AA12" i="2"/>
  <c r="AA12" i="5" s="1"/>
  <c r="AA3" i="4"/>
  <c r="AA39" i="5" s="1"/>
  <c r="Y18" i="5"/>
  <c r="Y33" i="5"/>
  <c r="Y45" i="5"/>
</calcChain>
</file>

<file path=xl/sharedStrings.xml><?xml version="1.0" encoding="utf-8"?>
<sst xmlns="http://schemas.openxmlformats.org/spreadsheetml/2006/main" count="465" uniqueCount="123">
  <si>
    <t>DOE Lote 2 - manual ethanol entry</t>
  </si>
  <si>
    <t>Purpose</t>
  </si>
  <si>
    <t>Enter ethanol measurements for DOE-LAB004, DOE-LAB005 and DOE-LAB006.</t>
  </si>
  <si>
    <t>Where to enter</t>
  </si>
  <si>
    <t>Use only sheets F1, F2 and F3. All_samples is a formula-linked read-only view.</t>
  </si>
  <si>
    <t>Yellow cells</t>
  </si>
  <si>
    <t>Manual inputs. Enter % v/v replicates or a direct g/L override.</t>
  </si>
  <si>
    <t>Green cells</t>
  </si>
  <si>
    <t>Formula-derived values. Do not overwrite.</t>
  </si>
  <si>
    <t>Blue cells</t>
  </si>
  <si>
    <t>Context parsed from the Y15 session files.</t>
  </si>
  <si>
    <t>Orange rows</t>
  </si>
  <si>
    <t>Expected sample ID with no corresponding Y15 record; alcohol data may still be entered.</t>
  </si>
  <si>
    <t>% v/v conversion</t>
  </si>
  <si>
    <t>ethanol_g_l_for_model = ethanol_percent_vv_final x 7.89, unless ethanol_g_l_manual is supplied.</t>
  </si>
  <si>
    <t>Sample time</t>
  </si>
  <si>
    <t>Y15 timestamps are analysis times, not sample collection times. Fill sample_collection_datetime and/or t_h when known.</t>
  </si>
  <si>
    <t>Missing expected IDs</t>
  </si>
  <si>
    <t>F1: 7, 14, 17; F2: 7, 14, 17; F3: 7, 14, 17, 18.</t>
  </si>
  <si>
    <t>QC flags</t>
  </si>
  <si>
    <t>OK, not_measured, below_LOQ, above_range, suspect, rerun, discard.</t>
  </si>
  <si>
    <t>Source</t>
  </si>
  <si>
    <t>C:\Users\ctorrealba\OneDrive - Viña Concha y Toro S.A\Documentos\Doctorado\Artículos\Artículo - Estimación_dFBA\pyomo-doe\fermentation_model\data\Laboratorio 2026\MBDoE_2026\DOE_Lote_2\Datos Y15 lote 2</t>
  </si>
  <si>
    <t>lot_id</t>
  </si>
  <si>
    <t>process</t>
  </si>
  <si>
    <t>design_name</t>
  </si>
  <si>
    <t>sample_id</t>
  </si>
  <si>
    <t>sample_sequence</t>
  </si>
  <si>
    <t>sample_collection_datetime</t>
  </si>
  <si>
    <t>t_h</t>
  </si>
  <si>
    <t>time_source</t>
  </si>
  <si>
    <t>y15_data_available</t>
  </si>
  <si>
    <t>y15_analysis_datetime_start</t>
  </si>
  <si>
    <t>y15_analysis_datetime_end</t>
  </si>
  <si>
    <t>y15_source_files</t>
  </si>
  <si>
    <t>glucose_g_l</t>
  </si>
  <si>
    <t>fructose_g_l</t>
  </si>
  <si>
    <t>sugar_total_g_l</t>
  </si>
  <si>
    <t>ammonia_mg_l</t>
  </si>
  <si>
    <t>pan_mg_l</t>
  </si>
  <si>
    <t>yan_calc_mg_l_raw</t>
  </si>
  <si>
    <t>glycerol_g_l</t>
  </si>
  <si>
    <t>acetic_acid_g_l</t>
  </si>
  <si>
    <t>pyruvic_acid_mg_l</t>
  </si>
  <si>
    <t>acetaldehyde_mg_l</t>
  </si>
  <si>
    <t>ethanol_percent_vv_rep1</t>
  </si>
  <si>
    <t>ethanol_percent_vv_rep2</t>
  </si>
  <si>
    <t>ethanol_percent_vv_final</t>
  </si>
  <si>
    <t>ethanol_g_l_manual</t>
  </si>
  <si>
    <t>ethanol_g_l_for_model</t>
  </si>
  <si>
    <t>ethanol_measurement_datetime</t>
  </si>
  <si>
    <t>ethanol_method</t>
  </si>
  <si>
    <t>operator</t>
  </si>
  <si>
    <t>qc_flag</t>
  </si>
  <si>
    <t>notes</t>
  </si>
  <si>
    <t>DOE_Lote_2</t>
  </si>
  <si>
    <t>F1</t>
  </si>
  <si>
    <t>synthetic_glucose_rich_fructose_pulse</t>
  </si>
  <si>
    <t>DOE-LAB004-1</t>
  </si>
  <si>
    <t>pending_manual_entry</t>
  </si>
  <si>
    <t>ONLINE(26-07-06 11-48)_1.txt</t>
  </si>
  <si>
    <t>DOE-LAB004-2</t>
  </si>
  <si>
    <t>DOE-LAB004-3</t>
  </si>
  <si>
    <t>DOE-LAB004-4</t>
  </si>
  <si>
    <t>ONLINE(26-07-07 08-26)_1.txt</t>
  </si>
  <si>
    <t>DOE-LAB004-5</t>
  </si>
  <si>
    <t>DOE-LAB004-6</t>
  </si>
  <si>
    <t>DOE-LAB004-7</t>
  </si>
  <si>
    <t>DOE-LAB004-8</t>
  </si>
  <si>
    <t>ONLINE(26-07-08 09-58)_1.txt</t>
  </si>
  <si>
    <t>DOE-LAB004-9</t>
  </si>
  <si>
    <t>DOE-LAB004-10</t>
  </si>
  <si>
    <t>DOE-LAB004-11</t>
  </si>
  <si>
    <t>ONLINE(26-07-09 10-09)_1.txt</t>
  </si>
  <si>
    <t>DOE-LAB004-12</t>
  </si>
  <si>
    <t>DOE-LAB004-13</t>
  </si>
  <si>
    <t>DOE-LAB004-14</t>
  </si>
  <si>
    <t>DOE-LAB004-15</t>
  </si>
  <si>
    <t>ONLINE(26-07-10 09-47)_1.txt</t>
  </si>
  <si>
    <t>DOE-LAB004-16</t>
  </si>
  <si>
    <t>DOE-LAB004-17</t>
  </si>
  <si>
    <t>DOE-LAB004-18</t>
  </si>
  <si>
    <t>ONLINE(26-07-14 10-40)_1.txt</t>
  </si>
  <si>
    <t>F2</t>
  </si>
  <si>
    <t>synthetic_lit_SM410_24C_highN_strip</t>
  </si>
  <si>
    <t>DOE-LAB005-1</t>
  </si>
  <si>
    <t>DOE-LAB005-2</t>
  </si>
  <si>
    <t>DOE-LAB005-3</t>
  </si>
  <si>
    <t>DOE-LAB005-4</t>
  </si>
  <si>
    <t>DOE-LAB005-5</t>
  </si>
  <si>
    <t>DOE-LAB005-6</t>
  </si>
  <si>
    <t>DOE-LAB005-7</t>
  </si>
  <si>
    <t>DOE-LAB005-8</t>
  </si>
  <si>
    <t>DOE-LAB005-9</t>
  </si>
  <si>
    <t>DOE-LAB005-10</t>
  </si>
  <si>
    <t>DOE-LAB005-11</t>
  </si>
  <si>
    <t>DOE-LAB005-12</t>
  </si>
  <si>
    <t>DOE-LAB005-13</t>
  </si>
  <si>
    <t>DOE-LAB005-14</t>
  </si>
  <si>
    <t>DOE-LAB005-15</t>
  </si>
  <si>
    <t>DOE-LAB005-16</t>
  </si>
  <si>
    <t>DOE-LAB005-17</t>
  </si>
  <si>
    <t>DOE-LAB005-18</t>
  </si>
  <si>
    <t>F3</t>
  </si>
  <si>
    <t>synthetic_viable_biomass_step</t>
  </si>
  <si>
    <t>DOE-LAB006-1</t>
  </si>
  <si>
    <t>DOE-LAB006-2</t>
  </si>
  <si>
    <t>DOE-LAB006-3</t>
  </si>
  <si>
    <t>DOE-LAB006-4</t>
  </si>
  <si>
    <t>DOE-LAB006-5</t>
  </si>
  <si>
    <t>DOE-LAB006-6</t>
  </si>
  <si>
    <t>DOE-LAB006-7</t>
  </si>
  <si>
    <t>DOE-LAB006-8</t>
  </si>
  <si>
    <t>DOE-LAB006-9</t>
  </si>
  <si>
    <t>DOE-LAB006-10</t>
  </si>
  <si>
    <t>DOE-LAB006-11</t>
  </si>
  <si>
    <t>DOE-LAB006-12</t>
  </si>
  <si>
    <t>DOE-LAB006-13</t>
  </si>
  <si>
    <t>DOE-LAB006-14</t>
  </si>
  <si>
    <t>DOE-LAB006-15</t>
  </si>
  <si>
    <t>DOE-LAB006-16</t>
  </si>
  <si>
    <t>DOE-LAB006-17</t>
  </si>
  <si>
    <t>DOE-LAB006-18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</si>
</sst>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1F4E78"/>
      <name val="Calibri"/>
      <family val="2"/>
    </font>
    <font>
      <b/>
      <sz val="10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vertical="center" wrapText="1"/>
    </xf>
    <xf numFmtId="165" fontId="0" fillId="4" borderId="2" xfId="0" applyNumberFormat="1" applyFill="1" applyBorder="1" applyAlignment="1">
      <alignment vertical="center"/>
    </xf>
    <xf numFmtId="2" fontId="0" fillId="4" borderId="2" xfId="0" applyNumberForma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165" fontId="0" fillId="3" borderId="2" xfId="0" applyNumberFormat="1" applyFill="1" applyBorder="1" applyAlignment="1">
      <alignment vertical="center"/>
    </xf>
    <xf numFmtId="2" fontId="0" fillId="3" borderId="2" xfId="0" applyNumberFormat="1" applyFill="1" applyBorder="1" applyAlignment="1">
      <alignment vertical="center"/>
    </xf>
    <xf numFmtId="2" fontId="0" fillId="5" borderId="2" xfId="0" applyNumberFormat="1" applyFill="1" applyBorder="1" applyAlignment="1">
      <alignment vertical="center"/>
    </xf>
    <xf numFmtId="0" fontId="0" fillId="4" borderId="2" xfId="0" applyFill="1" applyBorder="1" applyAlignment="1">
      <alignment vertical="center" wrapText="1"/>
    </xf>
    <xf numFmtId="0" fontId="0" fillId="6" borderId="2" xfId="0" applyFill="1" applyBorder="1" applyAlignment="1">
      <alignment vertical="center"/>
    </xf>
    <xf numFmtId="0" fontId="0" fillId="6" borderId="2" xfId="0" applyFill="1" applyBorder="1" applyAlignment="1">
      <alignment vertical="center" wrapText="1"/>
    </xf>
    <xf numFmtId="165" fontId="0" fillId="6" borderId="2" xfId="0" applyNumberFormat="1" applyFill="1" applyBorder="1" applyAlignment="1">
      <alignment vertical="center"/>
    </xf>
    <xf numFmtId="2" fontId="0" fillId="6" borderId="2" xfId="0" applyNumberForma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zoomScale="95" workbookViewId="0">
      <selection activeCell="J8" sqref="J8"/>
    </sheetView>
  </sheetViews>
  <sheetFormatPr baseColWidth="10" defaultColWidth="9.140625" defaultRowHeight="15" x14ac:dyDescent="0.25"/>
  <cols>
    <col min="1" max="1" width="24" customWidth="1"/>
    <col min="2" max="2" width="115" customWidth="1"/>
  </cols>
  <sheetData>
    <row r="1" spans="1:2" ht="30" customHeight="1" x14ac:dyDescent="0.25">
      <c r="A1" s="17" t="s">
        <v>0</v>
      </c>
      <c r="B1" s="18"/>
    </row>
    <row r="3" spans="1:2" ht="30" customHeight="1" x14ac:dyDescent="0.25">
      <c r="A3" s="1" t="s">
        <v>1</v>
      </c>
      <c r="B3" s="2" t="s">
        <v>2</v>
      </c>
    </row>
    <row r="4" spans="1:2" ht="30" customHeight="1" x14ac:dyDescent="0.25">
      <c r="A4" s="1" t="s">
        <v>3</v>
      </c>
      <c r="B4" s="2" t="s">
        <v>4</v>
      </c>
    </row>
    <row r="5" spans="1:2" ht="30" customHeight="1" x14ac:dyDescent="0.25">
      <c r="A5" s="1" t="s">
        <v>5</v>
      </c>
      <c r="B5" s="2" t="s">
        <v>6</v>
      </c>
    </row>
    <row r="6" spans="1:2" ht="30" customHeight="1" x14ac:dyDescent="0.25">
      <c r="A6" s="1" t="s">
        <v>7</v>
      </c>
      <c r="B6" s="2" t="s">
        <v>8</v>
      </c>
    </row>
    <row r="7" spans="1:2" ht="30" customHeight="1" x14ac:dyDescent="0.25">
      <c r="A7" s="1" t="s">
        <v>9</v>
      </c>
      <c r="B7" s="2" t="s">
        <v>10</v>
      </c>
    </row>
    <row r="8" spans="1:2" ht="30" customHeight="1" x14ac:dyDescent="0.25">
      <c r="A8" s="1" t="s">
        <v>11</v>
      </c>
      <c r="B8" s="2" t="s">
        <v>12</v>
      </c>
    </row>
    <row r="9" spans="1:2" ht="30" customHeight="1" x14ac:dyDescent="0.25">
      <c r="A9" s="1" t="s">
        <v>13</v>
      </c>
      <c r="B9" s="2" t="s">
        <v>14</v>
      </c>
    </row>
    <row r="10" spans="1:2" ht="30" customHeight="1" x14ac:dyDescent="0.25">
      <c r="A10" s="1" t="s">
        <v>15</v>
      </c>
      <c r="B10" s="2" t="s">
        <v>16</v>
      </c>
    </row>
    <row r="11" spans="1:2" ht="30" customHeight="1" x14ac:dyDescent="0.25">
      <c r="A11" s="1" t="s">
        <v>17</v>
      </c>
      <c r="B11" s="2" t="s">
        <v>18</v>
      </c>
    </row>
    <row r="12" spans="1:2" ht="30" customHeight="1" x14ac:dyDescent="0.25">
      <c r="A12" s="1" t="s">
        <v>19</v>
      </c>
      <c r="B12" s="2" t="s">
        <v>20</v>
      </c>
    </row>
    <row r="13" spans="1:2" ht="30" customHeight="1" x14ac:dyDescent="0.25">
      <c r="A13" s="1" t="s">
        <v>21</v>
      </c>
      <c r="B13" s="2" t="s">
        <v>22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9"/>
  <sheetViews>
    <sheetView tabSelected="1" topLeftCell="D1" zoomScale="80" workbookViewId="0">
      <pane xSplit="1" topLeftCell="E1" activePane="topRight" state="frozen"/>
      <selection activeCell="D1" sqref="D1"/>
      <selection pane="topRight" activeCell="M22" sqref="M22"/>
    </sheetView>
  </sheetViews>
  <sheetFormatPr baseColWidth="10" defaultColWidth="9.140625" defaultRowHeight="15" x14ac:dyDescent="0.25"/>
  <cols>
    <col min="1" max="1" width="15" hidden="1" customWidth="1"/>
    <col min="2" max="2" width="9" hidden="1" customWidth="1"/>
    <col min="3" max="3" width="42" hidden="1" customWidth="1"/>
    <col min="4" max="4" width="18" customWidth="1"/>
    <col min="5" max="5" width="12" customWidth="1"/>
    <col min="6" max="6" width="22" customWidth="1"/>
    <col min="7" max="7" width="10" customWidth="1"/>
    <col min="8" max="8" width="23" customWidth="1"/>
    <col min="9" max="9" width="16" customWidth="1"/>
    <col min="10" max="11" width="22" customWidth="1"/>
    <col min="12" max="12" width="34" customWidth="1"/>
    <col min="13" max="14" width="13" customWidth="1"/>
    <col min="15" max="15" width="15" customWidth="1"/>
    <col min="16" max="16" width="14" customWidth="1"/>
    <col min="17" max="17" width="12" customWidth="1"/>
    <col min="18" max="18" width="16" customWidth="1"/>
    <col min="19" max="19" width="13" customWidth="1"/>
    <col min="20" max="20" width="14" customWidth="1"/>
    <col min="21" max="21" width="17" customWidth="1"/>
    <col min="22" max="25" width="18" customWidth="1"/>
    <col min="26" max="26" width="16" customWidth="1"/>
    <col min="27" max="27" width="18" customWidth="1"/>
    <col min="28" max="28" width="24" customWidth="1"/>
    <col min="29" max="29" width="18" customWidth="1"/>
    <col min="30" max="31" width="16" customWidth="1"/>
    <col min="32" max="32" width="34" customWidth="1"/>
  </cols>
  <sheetData>
    <row r="1" spans="1:32" ht="42" customHeight="1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  <c r="X1" s="3" t="s">
        <v>46</v>
      </c>
      <c r="Y1" s="3" t="s">
        <v>47</v>
      </c>
      <c r="Z1" s="3" t="s">
        <v>48</v>
      </c>
      <c r="AA1" s="3" t="s">
        <v>49</v>
      </c>
      <c r="AB1" s="3" t="s">
        <v>50</v>
      </c>
      <c r="AC1" s="3" t="s">
        <v>51</v>
      </c>
      <c r="AD1" s="3" t="s">
        <v>52</v>
      </c>
      <c r="AE1" s="3" t="s">
        <v>53</v>
      </c>
      <c r="AF1" s="3" t="s">
        <v>54</v>
      </c>
    </row>
    <row r="2" spans="1:32" ht="24" customHeight="1" x14ac:dyDescent="0.25">
      <c r="A2" s="4" t="s">
        <v>55</v>
      </c>
      <c r="B2" s="4" t="s">
        <v>56</v>
      </c>
      <c r="C2" s="5" t="s">
        <v>57</v>
      </c>
      <c r="D2" s="4" t="s">
        <v>58</v>
      </c>
      <c r="E2" s="4">
        <v>1</v>
      </c>
      <c r="F2" s="6"/>
      <c r="G2" s="7"/>
      <c r="H2" s="8" t="s">
        <v>59</v>
      </c>
      <c r="I2" s="4" t="b">
        <v>1</v>
      </c>
      <c r="J2" s="9">
        <v>46209.555243055547</v>
      </c>
      <c r="K2" s="9">
        <v>46209.56108796296</v>
      </c>
      <c r="L2" s="4" t="s">
        <v>60</v>
      </c>
      <c r="M2" s="10">
        <v>120.36</v>
      </c>
      <c r="N2" s="11">
        <f t="shared" ref="N2:N19" si="0">IF(OR(M2="",O2=""),"",O2-M2)</f>
        <v>50.410000000000011</v>
      </c>
      <c r="O2" s="10">
        <v>170.77</v>
      </c>
      <c r="P2" s="10">
        <v>143</v>
      </c>
      <c r="Q2" s="10">
        <v>57</v>
      </c>
      <c r="R2" s="11">
        <f t="shared" ref="R2:R19" si="1">IF(COUNTA(P2:Q2)=0,"",SUM(P2:Q2))</f>
        <v>200</v>
      </c>
      <c r="S2" s="10">
        <v>0.31</v>
      </c>
      <c r="T2" s="10">
        <v>0.08</v>
      </c>
      <c r="U2" s="10">
        <v>6</v>
      </c>
      <c r="V2" s="10">
        <v>34</v>
      </c>
      <c r="W2" s="7">
        <v>0.3</v>
      </c>
      <c r="X2" s="7"/>
      <c r="Y2" s="11">
        <f>IF(COUNTA(W2:X2)=0,"",AVERAGE(W2:X2))-0.3</f>
        <v>0</v>
      </c>
      <c r="Z2" s="7"/>
      <c r="AA2" s="11">
        <f t="shared" ref="AA2:AA19" si="2">IF(Z2&lt;&gt;"",Z2,IF(Y2&lt;&gt;"",Y2*7.89,""))</f>
        <v>0</v>
      </c>
      <c r="AB2" s="6"/>
      <c r="AC2" s="8"/>
      <c r="AD2" s="8"/>
      <c r="AE2" s="8"/>
      <c r="AF2" s="12"/>
    </row>
    <row r="3" spans="1:32" ht="24" customHeight="1" x14ac:dyDescent="0.25">
      <c r="A3" s="4" t="s">
        <v>55</v>
      </c>
      <c r="B3" s="4" t="s">
        <v>56</v>
      </c>
      <c r="C3" s="5" t="s">
        <v>57</v>
      </c>
      <c r="D3" s="4" t="s">
        <v>61</v>
      </c>
      <c r="E3" s="4">
        <v>2</v>
      </c>
      <c r="F3" s="6"/>
      <c r="G3" s="7"/>
      <c r="H3" s="8" t="s">
        <v>59</v>
      </c>
      <c r="I3" s="4" t="b">
        <v>1</v>
      </c>
      <c r="J3" s="9">
        <v>46209.657800925917</v>
      </c>
      <c r="K3" s="9">
        <v>46209.666979166657</v>
      </c>
      <c r="L3" s="4" t="s">
        <v>60</v>
      </c>
      <c r="M3" s="10">
        <v>117.48</v>
      </c>
      <c r="N3" s="11">
        <f t="shared" si="0"/>
        <v>47.36</v>
      </c>
      <c r="O3" s="10">
        <v>164.84</v>
      </c>
      <c r="P3" s="10">
        <v>134</v>
      </c>
      <c r="Q3" s="10">
        <v>53</v>
      </c>
      <c r="R3" s="11">
        <f t="shared" si="1"/>
        <v>187</v>
      </c>
      <c r="S3" s="10">
        <v>0.31</v>
      </c>
      <c r="T3" s="10">
        <v>0.11</v>
      </c>
      <c r="U3" s="10">
        <v>-1</v>
      </c>
      <c r="V3" s="10">
        <v>33</v>
      </c>
      <c r="W3" s="7"/>
      <c r="X3" s="7"/>
      <c r="Y3" s="11"/>
      <c r="Z3" s="7"/>
      <c r="AA3" s="11" t="str">
        <f t="shared" si="2"/>
        <v/>
      </c>
      <c r="AB3" s="6"/>
      <c r="AC3" s="8"/>
      <c r="AD3" s="8"/>
      <c r="AE3" s="8"/>
      <c r="AF3" s="12"/>
    </row>
    <row r="4" spans="1:32" ht="24" customHeight="1" x14ac:dyDescent="0.25">
      <c r="A4" s="4" t="s">
        <v>55</v>
      </c>
      <c r="B4" s="4" t="s">
        <v>56</v>
      </c>
      <c r="C4" s="5" t="s">
        <v>57</v>
      </c>
      <c r="D4" s="4" t="s">
        <v>62</v>
      </c>
      <c r="E4" s="4">
        <v>3</v>
      </c>
      <c r="F4" s="6"/>
      <c r="G4" s="7"/>
      <c r="H4" s="8" t="s">
        <v>59</v>
      </c>
      <c r="I4" s="4" t="b">
        <v>1</v>
      </c>
      <c r="J4" s="9">
        <v>46209.702847222223</v>
      </c>
      <c r="K4" s="9">
        <v>46209.712037037039</v>
      </c>
      <c r="L4" s="4" t="s">
        <v>60</v>
      </c>
      <c r="M4" s="10">
        <v>116.81</v>
      </c>
      <c r="N4" s="11">
        <f t="shared" si="0"/>
        <v>47.47</v>
      </c>
      <c r="O4" s="10">
        <v>164.28</v>
      </c>
      <c r="P4" s="10">
        <v>135</v>
      </c>
      <c r="Q4" s="10">
        <v>52</v>
      </c>
      <c r="R4" s="11">
        <f t="shared" si="1"/>
        <v>187</v>
      </c>
      <c r="S4" s="10">
        <v>0.39</v>
      </c>
      <c r="T4" s="10">
        <v>0.15</v>
      </c>
      <c r="U4" s="10">
        <v>7</v>
      </c>
      <c r="V4" s="10">
        <v>33</v>
      </c>
      <c r="W4" s="7">
        <v>0.32</v>
      </c>
      <c r="X4" s="7"/>
      <c r="Y4" s="11">
        <f t="shared" ref="Y3:Y19" si="3">IF(COUNTA(W4:X4)=0,"",AVERAGE(W4:X4))-0.3</f>
        <v>2.0000000000000018E-2</v>
      </c>
      <c r="Z4" s="7"/>
      <c r="AA4" s="11">
        <f t="shared" si="2"/>
        <v>0.15780000000000013</v>
      </c>
      <c r="AB4" s="6"/>
      <c r="AC4" s="8"/>
      <c r="AD4" s="8"/>
      <c r="AE4" s="8"/>
      <c r="AF4" s="12"/>
    </row>
    <row r="5" spans="1:32" ht="24" customHeight="1" x14ac:dyDescent="0.25">
      <c r="A5" s="4" t="s">
        <v>55</v>
      </c>
      <c r="B5" s="4" t="s">
        <v>56</v>
      </c>
      <c r="C5" s="5" t="s">
        <v>57</v>
      </c>
      <c r="D5" s="4" t="s">
        <v>63</v>
      </c>
      <c r="E5" s="4">
        <v>4</v>
      </c>
      <c r="F5" s="6"/>
      <c r="G5" s="7"/>
      <c r="H5" s="8" t="s">
        <v>59</v>
      </c>
      <c r="I5" s="4" t="b">
        <v>1</v>
      </c>
      <c r="J5" s="9">
        <v>46210.368159722217</v>
      </c>
      <c r="K5" s="9">
        <v>46210.377071759263</v>
      </c>
      <c r="L5" s="4" t="s">
        <v>64</v>
      </c>
      <c r="M5" s="10">
        <v>110.38</v>
      </c>
      <c r="N5" s="11">
        <f t="shared" si="0"/>
        <v>42.56</v>
      </c>
      <c r="O5" s="10">
        <v>152.94</v>
      </c>
      <c r="P5" s="10">
        <v>98</v>
      </c>
      <c r="Q5" s="10">
        <v>35</v>
      </c>
      <c r="R5" s="11">
        <f t="shared" si="1"/>
        <v>133</v>
      </c>
      <c r="S5" s="10">
        <v>1.1299999999999999</v>
      </c>
      <c r="T5" s="10">
        <v>0.21</v>
      </c>
      <c r="U5" s="10">
        <v>20</v>
      </c>
      <c r="V5" s="10">
        <v>46</v>
      </c>
      <c r="W5" s="7">
        <v>0.7</v>
      </c>
      <c r="X5" s="7"/>
      <c r="Y5" s="11">
        <f t="shared" si="3"/>
        <v>0.39999999999999997</v>
      </c>
      <c r="Z5" s="7"/>
      <c r="AA5" s="11">
        <f t="shared" si="2"/>
        <v>3.1559999999999997</v>
      </c>
      <c r="AB5" s="6"/>
      <c r="AC5" s="8"/>
      <c r="AD5" s="8"/>
      <c r="AE5" s="8"/>
      <c r="AF5" s="12"/>
    </row>
    <row r="6" spans="1:32" ht="24" customHeight="1" x14ac:dyDescent="0.25">
      <c r="A6" s="4" t="s">
        <v>55</v>
      </c>
      <c r="B6" s="4" t="s">
        <v>56</v>
      </c>
      <c r="C6" s="5" t="s">
        <v>57</v>
      </c>
      <c r="D6" s="4" t="s">
        <v>65</v>
      </c>
      <c r="E6" s="4">
        <v>5</v>
      </c>
      <c r="F6" s="6"/>
      <c r="G6" s="7"/>
      <c r="H6" s="8" t="s">
        <v>59</v>
      </c>
      <c r="I6" s="4" t="b">
        <v>1</v>
      </c>
      <c r="J6" s="9">
        <v>46210.527905092589</v>
      </c>
      <c r="K6" s="9">
        <v>46210.552372685182</v>
      </c>
      <c r="L6" s="4" t="s">
        <v>64</v>
      </c>
      <c r="M6" s="10">
        <v>106.38</v>
      </c>
      <c r="N6" s="11">
        <f t="shared" si="0"/>
        <v>44.170000000000016</v>
      </c>
      <c r="O6" s="10">
        <v>150.55000000000001</v>
      </c>
      <c r="P6" s="10">
        <v>117</v>
      </c>
      <c r="Q6" s="10">
        <v>37</v>
      </c>
      <c r="R6" s="11">
        <f t="shared" si="1"/>
        <v>154</v>
      </c>
      <c r="S6" s="10">
        <v>0.91</v>
      </c>
      <c r="T6" s="10">
        <v>0.24</v>
      </c>
      <c r="U6" s="10">
        <v>31</v>
      </c>
      <c r="V6" s="10">
        <v>67</v>
      </c>
      <c r="W6" s="7"/>
      <c r="X6" s="7"/>
      <c r="Y6" s="11"/>
      <c r="Z6" s="7"/>
      <c r="AA6" s="11" t="str">
        <f t="shared" si="2"/>
        <v/>
      </c>
      <c r="AB6" s="6"/>
      <c r="AC6" s="8"/>
      <c r="AD6" s="8"/>
      <c r="AE6" s="8"/>
      <c r="AF6" s="12"/>
    </row>
    <row r="7" spans="1:32" ht="24" customHeight="1" x14ac:dyDescent="0.25">
      <c r="A7" s="4" t="s">
        <v>55</v>
      </c>
      <c r="B7" s="4" t="s">
        <v>56</v>
      </c>
      <c r="C7" s="5" t="s">
        <v>57</v>
      </c>
      <c r="D7" s="4" t="s">
        <v>66</v>
      </c>
      <c r="E7" s="4">
        <v>6</v>
      </c>
      <c r="F7" s="6"/>
      <c r="G7" s="7"/>
      <c r="H7" s="8" t="s">
        <v>59</v>
      </c>
      <c r="I7" s="4" t="b">
        <v>1</v>
      </c>
      <c r="J7" s="9">
        <v>46210.632974537039</v>
      </c>
      <c r="K7" s="9">
        <v>46210.644108796303</v>
      </c>
      <c r="L7" s="4" t="s">
        <v>64</v>
      </c>
      <c r="M7" s="10">
        <v>101.75</v>
      </c>
      <c r="N7" s="11">
        <f t="shared" si="0"/>
        <v>43.78</v>
      </c>
      <c r="O7" s="10">
        <v>145.53</v>
      </c>
      <c r="P7" s="10">
        <v>110</v>
      </c>
      <c r="Q7" s="10">
        <v>36</v>
      </c>
      <c r="R7" s="11">
        <f t="shared" si="1"/>
        <v>146</v>
      </c>
      <c r="S7" s="10">
        <v>1.08</v>
      </c>
      <c r="T7" s="10">
        <v>0.32</v>
      </c>
      <c r="U7" s="10">
        <v>44</v>
      </c>
      <c r="V7" s="10">
        <v>66</v>
      </c>
      <c r="W7" s="7"/>
      <c r="X7" s="7"/>
      <c r="Y7" s="11"/>
      <c r="Z7" s="7"/>
      <c r="AA7" s="11" t="str">
        <f t="shared" si="2"/>
        <v/>
      </c>
      <c r="AB7" s="6"/>
      <c r="AC7" s="8"/>
      <c r="AD7" s="8"/>
      <c r="AE7" s="8"/>
      <c r="AF7" s="12"/>
    </row>
    <row r="8" spans="1:32" ht="24" customHeight="1" x14ac:dyDescent="0.25">
      <c r="A8" s="4" t="s">
        <v>55</v>
      </c>
      <c r="B8" s="4" t="s">
        <v>56</v>
      </c>
      <c r="C8" s="5" t="s">
        <v>57</v>
      </c>
      <c r="D8" s="4" t="s">
        <v>67</v>
      </c>
      <c r="E8" s="4">
        <v>7</v>
      </c>
      <c r="F8" s="6"/>
      <c r="G8" s="7"/>
      <c r="H8" s="8" t="s">
        <v>59</v>
      </c>
      <c r="I8" s="4" t="b">
        <v>0</v>
      </c>
      <c r="J8" s="9"/>
      <c r="K8" s="9"/>
      <c r="L8" s="4"/>
      <c r="M8" s="10"/>
      <c r="N8" s="11" t="str">
        <f t="shared" si="0"/>
        <v/>
      </c>
      <c r="O8" s="10"/>
      <c r="P8" s="10"/>
      <c r="Q8" s="10"/>
      <c r="R8" s="11" t="str">
        <f t="shared" si="1"/>
        <v/>
      </c>
      <c r="S8" s="10"/>
      <c r="T8" s="10"/>
      <c r="U8" s="10"/>
      <c r="V8" s="10"/>
      <c r="W8" s="7">
        <v>1.08</v>
      </c>
      <c r="X8" s="7"/>
      <c r="Y8" s="11">
        <f t="shared" si="3"/>
        <v>0.78</v>
      </c>
      <c r="Z8" s="7"/>
      <c r="AA8" s="11">
        <f t="shared" si="2"/>
        <v>6.1542000000000003</v>
      </c>
      <c r="AB8" s="6"/>
      <c r="AC8" s="8"/>
      <c r="AD8" s="8"/>
      <c r="AE8" s="8"/>
      <c r="AF8" s="12"/>
    </row>
    <row r="9" spans="1:32" ht="24" customHeight="1" x14ac:dyDescent="0.25">
      <c r="A9" s="4" t="s">
        <v>55</v>
      </c>
      <c r="B9" s="4" t="s">
        <v>56</v>
      </c>
      <c r="C9" s="5" t="s">
        <v>57</v>
      </c>
      <c r="D9" s="4" t="s">
        <v>68</v>
      </c>
      <c r="E9" s="4">
        <v>8</v>
      </c>
      <c r="F9" s="6"/>
      <c r="G9" s="7"/>
      <c r="H9" s="8" t="s">
        <v>59</v>
      </c>
      <c r="I9" s="4" t="b">
        <v>1</v>
      </c>
      <c r="J9" s="9">
        <v>46211.429513888892</v>
      </c>
      <c r="K9" s="9">
        <v>46211.437037037038</v>
      </c>
      <c r="L9" s="4" t="s">
        <v>69</v>
      </c>
      <c r="M9" s="10">
        <v>83.87</v>
      </c>
      <c r="N9" s="11">
        <f t="shared" si="0"/>
        <v>37.429999999999993</v>
      </c>
      <c r="O9" s="10">
        <v>121.3</v>
      </c>
      <c r="P9" s="10">
        <v>4</v>
      </c>
      <c r="Q9" s="10">
        <v>26</v>
      </c>
      <c r="R9" s="11">
        <f t="shared" si="1"/>
        <v>30</v>
      </c>
      <c r="S9" s="10">
        <v>2.99</v>
      </c>
      <c r="T9" s="10">
        <v>0.34</v>
      </c>
      <c r="U9" s="10">
        <v>92</v>
      </c>
      <c r="V9" s="10">
        <v>168</v>
      </c>
      <c r="W9" s="7">
        <v>2.54</v>
      </c>
      <c r="X9" s="7"/>
      <c r="Y9" s="11">
        <f t="shared" si="3"/>
        <v>2.2400000000000002</v>
      </c>
      <c r="Z9" s="7"/>
      <c r="AA9" s="11">
        <f t="shared" si="2"/>
        <v>17.6736</v>
      </c>
      <c r="AB9" s="6"/>
      <c r="AC9" s="8"/>
      <c r="AD9" s="8"/>
      <c r="AE9" s="8"/>
      <c r="AF9" s="12"/>
    </row>
    <row r="10" spans="1:32" ht="24" customHeight="1" x14ac:dyDescent="0.25">
      <c r="A10" s="4" t="s">
        <v>55</v>
      </c>
      <c r="B10" s="4" t="s">
        <v>56</v>
      </c>
      <c r="C10" s="5" t="s">
        <v>57</v>
      </c>
      <c r="D10" s="4" t="s">
        <v>70</v>
      </c>
      <c r="E10" s="4">
        <v>9</v>
      </c>
      <c r="F10" s="6"/>
      <c r="G10" s="7"/>
      <c r="H10" s="8" t="s">
        <v>59</v>
      </c>
      <c r="I10" s="4" t="b">
        <v>1</v>
      </c>
      <c r="J10" s="9">
        <v>46211.620520833327</v>
      </c>
      <c r="K10" s="9">
        <v>46211.633599537039</v>
      </c>
      <c r="L10" s="4" t="s">
        <v>69</v>
      </c>
      <c r="M10" s="10">
        <v>74.31</v>
      </c>
      <c r="N10" s="11">
        <f t="shared" si="0"/>
        <v>38.509999999999991</v>
      </c>
      <c r="O10" s="10">
        <v>112.82</v>
      </c>
      <c r="P10" s="10">
        <v>3</v>
      </c>
      <c r="Q10" s="10">
        <v>21</v>
      </c>
      <c r="R10" s="11">
        <f t="shared" si="1"/>
        <v>24</v>
      </c>
      <c r="S10" s="10">
        <v>2.98</v>
      </c>
      <c r="T10" s="10">
        <v>0.4</v>
      </c>
      <c r="U10" s="10">
        <v>94</v>
      </c>
      <c r="V10" s="10">
        <v>160</v>
      </c>
      <c r="W10" s="7"/>
      <c r="X10" s="7"/>
      <c r="Y10" s="11"/>
      <c r="Z10" s="7"/>
      <c r="AA10" s="11" t="str">
        <f t="shared" si="2"/>
        <v/>
      </c>
      <c r="AB10" s="6"/>
      <c r="AC10" s="8"/>
      <c r="AD10" s="8"/>
      <c r="AE10" s="8"/>
      <c r="AF10" s="12"/>
    </row>
    <row r="11" spans="1:32" ht="24" customHeight="1" x14ac:dyDescent="0.25">
      <c r="A11" s="4" t="s">
        <v>55</v>
      </c>
      <c r="B11" s="4" t="s">
        <v>56</v>
      </c>
      <c r="C11" s="5" t="s">
        <v>57</v>
      </c>
      <c r="D11" s="4" t="s">
        <v>71</v>
      </c>
      <c r="E11" s="4">
        <v>10</v>
      </c>
      <c r="F11" s="6"/>
      <c r="G11" s="7"/>
      <c r="H11" s="8" t="s">
        <v>59</v>
      </c>
      <c r="I11" s="4" t="b">
        <v>1</v>
      </c>
      <c r="J11" s="9">
        <v>46211.691967592589</v>
      </c>
      <c r="K11" s="9">
        <v>46211.70449074074</v>
      </c>
      <c r="L11" s="4" t="s">
        <v>69</v>
      </c>
      <c r="M11" s="10">
        <v>73.66</v>
      </c>
      <c r="N11" s="11">
        <f t="shared" si="0"/>
        <v>37.730000000000004</v>
      </c>
      <c r="O11" s="10">
        <v>111.39</v>
      </c>
      <c r="P11" s="10">
        <v>6</v>
      </c>
      <c r="Q11" s="10">
        <v>21</v>
      </c>
      <c r="R11" s="11">
        <f t="shared" si="1"/>
        <v>27</v>
      </c>
      <c r="S11" s="10">
        <v>2.5099999999999998</v>
      </c>
      <c r="T11" s="10">
        <v>0.4</v>
      </c>
      <c r="U11" s="10">
        <v>90</v>
      </c>
      <c r="V11" s="10">
        <v>171</v>
      </c>
      <c r="W11" s="7">
        <v>2.68</v>
      </c>
      <c r="X11" s="7"/>
      <c r="Y11" s="11">
        <f t="shared" si="3"/>
        <v>2.3800000000000003</v>
      </c>
      <c r="Z11" s="7"/>
      <c r="AA11" s="11">
        <f t="shared" si="2"/>
        <v>18.778200000000002</v>
      </c>
      <c r="AB11" s="6"/>
      <c r="AC11" s="8"/>
      <c r="AD11" s="8"/>
      <c r="AE11" s="8"/>
      <c r="AF11" s="12"/>
    </row>
    <row r="12" spans="1:32" ht="24" customHeight="1" x14ac:dyDescent="0.25">
      <c r="A12" s="4" t="s">
        <v>55</v>
      </c>
      <c r="B12" s="4" t="s">
        <v>56</v>
      </c>
      <c r="C12" s="5" t="s">
        <v>57</v>
      </c>
      <c r="D12" s="4" t="s">
        <v>72</v>
      </c>
      <c r="E12" s="4">
        <v>11</v>
      </c>
      <c r="F12" s="6"/>
      <c r="G12" s="7"/>
      <c r="H12" s="8" t="s">
        <v>59</v>
      </c>
      <c r="I12" s="4" t="b">
        <v>1</v>
      </c>
      <c r="J12" s="9">
        <v>46212.437048611107</v>
      </c>
      <c r="K12" s="9">
        <v>46212.447905092587</v>
      </c>
      <c r="L12" s="4" t="s">
        <v>73</v>
      </c>
      <c r="M12" s="10">
        <v>48.3</v>
      </c>
      <c r="N12" s="11">
        <f t="shared" si="0"/>
        <v>27.400000000000006</v>
      </c>
      <c r="O12" s="10">
        <v>75.7</v>
      </c>
      <c r="P12" s="10">
        <v>-1</v>
      </c>
      <c r="Q12" s="10">
        <v>18</v>
      </c>
      <c r="R12" s="11">
        <f t="shared" si="1"/>
        <v>17</v>
      </c>
      <c r="S12" s="10">
        <v>4.28</v>
      </c>
      <c r="T12" s="10">
        <v>0.43</v>
      </c>
      <c r="U12" s="10">
        <v>76</v>
      </c>
      <c r="V12" s="10">
        <v>80</v>
      </c>
      <c r="W12" s="7">
        <v>5.07</v>
      </c>
      <c r="X12" s="7"/>
      <c r="Y12" s="11">
        <f t="shared" si="3"/>
        <v>4.7700000000000005</v>
      </c>
      <c r="Z12" s="7"/>
      <c r="AA12" s="11">
        <f t="shared" si="2"/>
        <v>37.635300000000001</v>
      </c>
      <c r="AB12" s="6"/>
      <c r="AC12" s="8"/>
      <c r="AD12" s="8"/>
      <c r="AE12" s="8"/>
      <c r="AF12" s="12"/>
    </row>
    <row r="13" spans="1:32" ht="24" customHeight="1" x14ac:dyDescent="0.25">
      <c r="A13" s="4" t="s">
        <v>55</v>
      </c>
      <c r="B13" s="4" t="s">
        <v>56</v>
      </c>
      <c r="C13" s="5" t="s">
        <v>57</v>
      </c>
      <c r="D13" s="4" t="s">
        <v>74</v>
      </c>
      <c r="E13" s="4">
        <v>12</v>
      </c>
      <c r="F13" s="6"/>
      <c r="G13" s="7"/>
      <c r="H13" s="8" t="s">
        <v>59</v>
      </c>
      <c r="I13" s="4" t="b">
        <v>1</v>
      </c>
      <c r="J13" s="9">
        <v>46212.531828703701</v>
      </c>
      <c r="K13" s="9">
        <v>46212.5387962963</v>
      </c>
      <c r="L13" s="4" t="s">
        <v>73</v>
      </c>
      <c r="M13" s="10">
        <v>47.22</v>
      </c>
      <c r="N13" s="11">
        <f t="shared" si="0"/>
        <v>72.73</v>
      </c>
      <c r="O13" s="10">
        <v>119.95</v>
      </c>
      <c r="P13" s="10">
        <v>0</v>
      </c>
      <c r="Q13" s="10">
        <v>20</v>
      </c>
      <c r="R13" s="11">
        <f t="shared" si="1"/>
        <v>20</v>
      </c>
      <c r="S13" s="10">
        <v>4.6500000000000004</v>
      </c>
      <c r="T13" s="10">
        <v>0.49</v>
      </c>
      <c r="U13" s="10">
        <v>81</v>
      </c>
      <c r="V13" s="10">
        <v>215</v>
      </c>
      <c r="W13" s="7"/>
      <c r="X13" s="7"/>
      <c r="Y13" s="11"/>
      <c r="Z13" s="7"/>
      <c r="AA13" s="11" t="str">
        <f t="shared" si="2"/>
        <v/>
      </c>
      <c r="AB13" s="6"/>
      <c r="AC13" s="8"/>
      <c r="AD13" s="8"/>
      <c r="AE13" s="8"/>
      <c r="AF13" s="12"/>
    </row>
    <row r="14" spans="1:32" ht="24" customHeight="1" x14ac:dyDescent="0.25">
      <c r="A14" s="4" t="s">
        <v>55</v>
      </c>
      <c r="B14" s="4" t="s">
        <v>56</v>
      </c>
      <c r="C14" s="5" t="s">
        <v>57</v>
      </c>
      <c r="D14" s="4" t="s">
        <v>75</v>
      </c>
      <c r="E14" s="4">
        <v>13</v>
      </c>
      <c r="F14" s="6"/>
      <c r="G14" s="7"/>
      <c r="H14" s="8" t="s">
        <v>59</v>
      </c>
      <c r="I14" s="4" t="b">
        <v>1</v>
      </c>
      <c r="J14" s="9">
        <v>46212.713020833333</v>
      </c>
      <c r="K14" s="9">
        <v>46212.742314814823</v>
      </c>
      <c r="L14" s="4" t="s">
        <v>73</v>
      </c>
      <c r="M14" s="10">
        <v>35.07</v>
      </c>
      <c r="N14" s="11">
        <f t="shared" si="0"/>
        <v>55.860000000000007</v>
      </c>
      <c r="O14" s="10">
        <v>90.93</v>
      </c>
      <c r="P14" s="10"/>
      <c r="Q14" s="10">
        <v>19</v>
      </c>
      <c r="R14" s="11">
        <f t="shared" si="1"/>
        <v>19</v>
      </c>
      <c r="S14" s="10">
        <v>4.75</v>
      </c>
      <c r="T14" s="10">
        <v>0.62</v>
      </c>
      <c r="U14" s="10">
        <v>84</v>
      </c>
      <c r="V14" s="10">
        <v>122</v>
      </c>
      <c r="W14" s="7">
        <v>5.81</v>
      </c>
      <c r="X14" s="7"/>
      <c r="Y14" s="11">
        <f t="shared" si="3"/>
        <v>5.51</v>
      </c>
      <c r="Z14" s="7"/>
      <c r="AA14" s="11">
        <f t="shared" si="2"/>
        <v>43.473899999999993</v>
      </c>
      <c r="AB14" s="6"/>
      <c r="AC14" s="8"/>
      <c r="AD14" s="8"/>
      <c r="AE14" s="8"/>
      <c r="AF14" s="12"/>
    </row>
    <row r="15" spans="1:32" ht="24" customHeight="1" x14ac:dyDescent="0.25">
      <c r="A15" s="4" t="s">
        <v>55</v>
      </c>
      <c r="B15" s="4" t="s">
        <v>56</v>
      </c>
      <c r="C15" s="5" t="s">
        <v>57</v>
      </c>
      <c r="D15" s="4" t="s">
        <v>76</v>
      </c>
      <c r="E15" s="4">
        <v>14</v>
      </c>
      <c r="F15" s="6"/>
      <c r="G15" s="7"/>
      <c r="H15" s="8" t="s">
        <v>59</v>
      </c>
      <c r="I15" s="4" t="b">
        <v>0</v>
      </c>
      <c r="J15" s="9"/>
      <c r="K15" s="9"/>
      <c r="L15" s="4"/>
      <c r="M15" s="10"/>
      <c r="N15" s="11" t="str">
        <f t="shared" si="0"/>
        <v/>
      </c>
      <c r="O15" s="10"/>
      <c r="P15" s="10"/>
      <c r="Q15" s="10"/>
      <c r="R15" s="11" t="str">
        <f t="shared" si="1"/>
        <v/>
      </c>
      <c r="S15" s="10"/>
      <c r="T15" s="10"/>
      <c r="U15" s="10"/>
      <c r="V15" s="10"/>
      <c r="W15" s="7">
        <v>7.04</v>
      </c>
      <c r="X15" s="7"/>
      <c r="Y15" s="11">
        <f t="shared" si="3"/>
        <v>6.74</v>
      </c>
      <c r="Z15" s="7"/>
      <c r="AA15" s="11">
        <f t="shared" si="2"/>
        <v>53.178600000000003</v>
      </c>
      <c r="AB15" s="6"/>
      <c r="AC15" s="8"/>
      <c r="AD15" s="8"/>
      <c r="AE15" s="8"/>
      <c r="AF15" s="12"/>
    </row>
    <row r="16" spans="1:32" ht="24" customHeight="1" x14ac:dyDescent="0.25">
      <c r="A16" s="4" t="s">
        <v>55</v>
      </c>
      <c r="B16" s="4" t="s">
        <v>56</v>
      </c>
      <c r="C16" s="5" t="s">
        <v>57</v>
      </c>
      <c r="D16" s="4" t="s">
        <v>77</v>
      </c>
      <c r="E16" s="4">
        <v>15</v>
      </c>
      <c r="F16" s="6"/>
      <c r="G16" s="7"/>
      <c r="H16" s="8" t="s">
        <v>59</v>
      </c>
      <c r="I16" s="4" t="b">
        <v>1</v>
      </c>
      <c r="J16" s="9">
        <v>46213.4221412037</v>
      </c>
      <c r="K16" s="9">
        <v>46213.431597222218</v>
      </c>
      <c r="L16" s="4" t="s">
        <v>78</v>
      </c>
      <c r="M16" s="10">
        <v>27.36</v>
      </c>
      <c r="N16" s="11">
        <f t="shared" si="0"/>
        <v>48.790000000000006</v>
      </c>
      <c r="O16" s="10">
        <v>76.150000000000006</v>
      </c>
      <c r="P16" s="10">
        <v>-2</v>
      </c>
      <c r="Q16" s="10">
        <v>18</v>
      </c>
      <c r="R16" s="11">
        <f t="shared" si="1"/>
        <v>16</v>
      </c>
      <c r="S16" s="10">
        <v>4.7300000000000004</v>
      </c>
      <c r="T16" s="10">
        <v>0.44</v>
      </c>
      <c r="U16" s="10">
        <v>36</v>
      </c>
      <c r="V16" s="10">
        <v>69</v>
      </c>
      <c r="W16" s="7">
        <v>7.48</v>
      </c>
      <c r="X16" s="7"/>
      <c r="Y16" s="11">
        <f t="shared" si="3"/>
        <v>7.1800000000000006</v>
      </c>
      <c r="Z16" s="7"/>
      <c r="AA16" s="11">
        <f t="shared" si="2"/>
        <v>56.650200000000005</v>
      </c>
      <c r="AB16" s="6"/>
      <c r="AC16" s="8"/>
      <c r="AD16" s="8"/>
      <c r="AE16" s="8"/>
      <c r="AF16" s="12"/>
    </row>
    <row r="17" spans="1:32" ht="24" customHeight="1" x14ac:dyDescent="0.25">
      <c r="A17" s="4" t="s">
        <v>55</v>
      </c>
      <c r="B17" s="4" t="s">
        <v>56</v>
      </c>
      <c r="C17" s="5" t="s">
        <v>57</v>
      </c>
      <c r="D17" s="4" t="s">
        <v>79</v>
      </c>
      <c r="E17" s="4">
        <v>16</v>
      </c>
      <c r="F17" s="6"/>
      <c r="G17" s="7"/>
      <c r="H17" s="8" t="s">
        <v>59</v>
      </c>
      <c r="I17" s="4" t="b">
        <v>1</v>
      </c>
      <c r="J17" s="9">
        <v>46213.540254629632</v>
      </c>
      <c r="K17" s="9">
        <v>46213.547777777778</v>
      </c>
      <c r="L17" s="4" t="s">
        <v>78</v>
      </c>
      <c r="M17" s="10">
        <v>24.4</v>
      </c>
      <c r="N17" s="11">
        <f t="shared" si="0"/>
        <v>47.910000000000004</v>
      </c>
      <c r="O17" s="10">
        <v>72.31</v>
      </c>
      <c r="P17" s="10">
        <v>-1</v>
      </c>
      <c r="Q17" s="10">
        <v>17</v>
      </c>
      <c r="R17" s="11">
        <f t="shared" si="1"/>
        <v>16</v>
      </c>
      <c r="S17" s="10">
        <v>4.95</v>
      </c>
      <c r="T17" s="10">
        <v>0.5</v>
      </c>
      <c r="U17" s="10">
        <v>42</v>
      </c>
      <c r="V17" s="10">
        <v>97</v>
      </c>
      <c r="W17" s="7">
        <v>10.84</v>
      </c>
      <c r="X17" s="7"/>
      <c r="Y17" s="11">
        <f t="shared" si="3"/>
        <v>10.54</v>
      </c>
      <c r="Z17" s="7"/>
      <c r="AA17" s="11">
        <f t="shared" si="2"/>
        <v>83.160599999999988</v>
      </c>
      <c r="AB17" s="6"/>
      <c r="AC17" s="8"/>
      <c r="AD17" s="8"/>
      <c r="AE17" s="8"/>
      <c r="AF17" s="12"/>
    </row>
    <row r="18" spans="1:32" ht="24" customHeight="1" x14ac:dyDescent="0.25">
      <c r="A18" s="4" t="s">
        <v>55</v>
      </c>
      <c r="B18" s="4" t="s">
        <v>56</v>
      </c>
      <c r="C18" s="5" t="s">
        <v>57</v>
      </c>
      <c r="D18" s="4" t="s">
        <v>80</v>
      </c>
      <c r="E18" s="4">
        <v>17</v>
      </c>
      <c r="F18" s="6"/>
      <c r="G18" s="7"/>
      <c r="H18" s="8" t="s">
        <v>59</v>
      </c>
      <c r="I18" s="4" t="b">
        <v>0</v>
      </c>
      <c r="J18" s="9"/>
      <c r="K18" s="9"/>
      <c r="L18" s="4"/>
      <c r="M18" s="10"/>
      <c r="N18" s="11" t="str">
        <f t="shared" si="0"/>
        <v/>
      </c>
      <c r="O18" s="10"/>
      <c r="P18" s="10"/>
      <c r="Q18" s="10"/>
      <c r="R18" s="11" t="str">
        <f t="shared" si="1"/>
        <v/>
      </c>
      <c r="S18" s="10"/>
      <c r="T18" s="10"/>
      <c r="U18" s="10"/>
      <c r="V18" s="10"/>
      <c r="W18" s="7">
        <v>11.03</v>
      </c>
      <c r="X18" s="7"/>
      <c r="Y18" s="11">
        <f t="shared" si="3"/>
        <v>10.729999999999999</v>
      </c>
      <c r="Z18" s="7"/>
      <c r="AA18" s="11">
        <f t="shared" si="2"/>
        <v>84.659699999999987</v>
      </c>
      <c r="AB18" s="6"/>
      <c r="AC18" s="8"/>
      <c r="AD18" s="8"/>
      <c r="AE18" s="8"/>
      <c r="AF18" s="12"/>
    </row>
    <row r="19" spans="1:32" ht="24" customHeight="1" x14ac:dyDescent="0.25">
      <c r="A19" s="4" t="s">
        <v>55</v>
      </c>
      <c r="B19" s="4" t="s">
        <v>56</v>
      </c>
      <c r="C19" s="5" t="s">
        <v>57</v>
      </c>
      <c r="D19" s="4" t="s">
        <v>81</v>
      </c>
      <c r="E19" s="4">
        <v>18</v>
      </c>
      <c r="F19" s="6"/>
      <c r="G19" s="7"/>
      <c r="H19" s="8" t="s">
        <v>59</v>
      </c>
      <c r="I19" s="4" t="b">
        <v>1</v>
      </c>
      <c r="J19" s="9">
        <v>46217.461354166669</v>
      </c>
      <c r="K19" s="9">
        <v>46217.484166666669</v>
      </c>
      <c r="L19" s="4" t="s">
        <v>82</v>
      </c>
      <c r="M19" s="10">
        <v>0.24</v>
      </c>
      <c r="N19" s="11">
        <f t="shared" si="0"/>
        <v>11.19</v>
      </c>
      <c r="O19" s="10">
        <v>11.43</v>
      </c>
      <c r="P19" s="10">
        <v>0</v>
      </c>
      <c r="Q19" s="10">
        <v>12</v>
      </c>
      <c r="R19" s="11">
        <f t="shared" si="1"/>
        <v>12</v>
      </c>
      <c r="S19" s="10">
        <v>5.73</v>
      </c>
      <c r="T19" s="10">
        <v>0.49</v>
      </c>
      <c r="U19" s="10">
        <v>47</v>
      </c>
      <c r="V19" s="10"/>
      <c r="W19" s="7">
        <v>11.08</v>
      </c>
      <c r="X19" s="7"/>
      <c r="Y19" s="11">
        <f t="shared" si="3"/>
        <v>10.78</v>
      </c>
      <c r="Z19" s="7"/>
      <c r="AA19" s="11">
        <f t="shared" si="2"/>
        <v>85.054199999999994</v>
      </c>
      <c r="AB19" s="6"/>
      <c r="AC19" s="8"/>
      <c r="AD19" s="8"/>
      <c r="AE19" s="8"/>
      <c r="AF19" s="12"/>
    </row>
  </sheetData>
  <autoFilter ref="A1:AF19" xr:uid="{00000000-0009-0000-0000-000001000000}"/>
  <conditionalFormatting sqref="A2:AF19">
    <cfRule type="expression" dxfId="3" priority="1">
      <formula>$I2=FALSE</formula>
    </cfRule>
  </conditionalFormatting>
  <dataValidations count="1">
    <dataValidation type="list" allowBlank="1" sqref="AE2:AE19" xr:uid="{00000000-0002-0000-0100-000000000000}">
      <formula1>"OK,not_measured,below_LOQ,above_range,suspect,rerun,discard"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9"/>
  <sheetViews>
    <sheetView topLeftCell="D1" zoomScale="80" workbookViewId="0">
      <pane xSplit="1" topLeftCell="O1" activePane="topRight" state="frozen"/>
      <selection activeCell="D1" sqref="D1"/>
      <selection pane="topRight" activeCell="Y23" sqref="Y23"/>
    </sheetView>
  </sheetViews>
  <sheetFormatPr baseColWidth="10" defaultColWidth="9.140625" defaultRowHeight="15" x14ac:dyDescent="0.25"/>
  <cols>
    <col min="1" max="1" width="15" hidden="1" customWidth="1"/>
    <col min="2" max="2" width="9" hidden="1" customWidth="1"/>
    <col min="3" max="3" width="42" hidden="1" customWidth="1"/>
    <col min="4" max="4" width="18" customWidth="1"/>
    <col min="5" max="5" width="12" customWidth="1"/>
    <col min="6" max="6" width="22" customWidth="1"/>
    <col min="7" max="7" width="10" customWidth="1"/>
    <col min="8" max="8" width="23" customWidth="1"/>
    <col min="9" max="9" width="16" customWidth="1"/>
    <col min="10" max="11" width="22" customWidth="1"/>
    <col min="12" max="12" width="34" customWidth="1"/>
    <col min="13" max="14" width="13" customWidth="1"/>
    <col min="15" max="15" width="15" customWidth="1"/>
    <col min="16" max="16" width="14" customWidth="1"/>
    <col min="17" max="17" width="12" customWidth="1"/>
    <col min="18" max="18" width="16" customWidth="1"/>
    <col min="19" max="19" width="13" customWidth="1"/>
    <col min="20" max="20" width="14" customWidth="1"/>
    <col min="21" max="21" width="17" customWidth="1"/>
    <col min="22" max="25" width="18" customWidth="1"/>
    <col min="26" max="26" width="16" customWidth="1"/>
    <col min="27" max="27" width="18" customWidth="1"/>
    <col min="28" max="28" width="24" customWidth="1"/>
    <col min="29" max="29" width="18" customWidth="1"/>
    <col min="30" max="31" width="16" customWidth="1"/>
    <col min="32" max="32" width="34" customWidth="1"/>
  </cols>
  <sheetData>
    <row r="1" spans="1:32" ht="42" customHeight="1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  <c r="X1" s="3" t="s">
        <v>46</v>
      </c>
      <c r="Y1" s="3" t="s">
        <v>47</v>
      </c>
      <c r="Z1" s="3" t="s">
        <v>48</v>
      </c>
      <c r="AA1" s="3" t="s">
        <v>49</v>
      </c>
      <c r="AB1" s="3" t="s">
        <v>50</v>
      </c>
      <c r="AC1" s="3" t="s">
        <v>51</v>
      </c>
      <c r="AD1" s="3" t="s">
        <v>52</v>
      </c>
      <c r="AE1" s="3" t="s">
        <v>53</v>
      </c>
      <c r="AF1" s="3" t="s">
        <v>54</v>
      </c>
    </row>
    <row r="2" spans="1:32" ht="24" customHeight="1" x14ac:dyDescent="0.25">
      <c r="A2" s="4" t="s">
        <v>55</v>
      </c>
      <c r="B2" s="4" t="s">
        <v>83</v>
      </c>
      <c r="C2" s="5" t="s">
        <v>84</v>
      </c>
      <c r="D2" s="4" t="s">
        <v>85</v>
      </c>
      <c r="E2" s="4">
        <v>1</v>
      </c>
      <c r="F2" s="6"/>
      <c r="G2" s="7"/>
      <c r="H2" s="8" t="s">
        <v>59</v>
      </c>
      <c r="I2" s="4" t="b">
        <v>1</v>
      </c>
      <c r="J2" s="9">
        <v>46209.555798611109</v>
      </c>
      <c r="K2" s="9">
        <v>46209.566377314812</v>
      </c>
      <c r="L2" s="4" t="s">
        <v>60</v>
      </c>
      <c r="M2" s="10">
        <v>94.1</v>
      </c>
      <c r="N2" s="11">
        <f t="shared" ref="N2:N19" si="0">IF(OR(M2="",O2=""),"",O2-M2)</f>
        <v>119.02000000000001</v>
      </c>
      <c r="O2" s="10">
        <v>213.12</v>
      </c>
      <c r="P2" s="10">
        <v>212</v>
      </c>
      <c r="Q2" s="10">
        <v>90</v>
      </c>
      <c r="R2" s="11">
        <f t="shared" ref="R2:R19" si="1">IF(COUNTA(P2:Q2)=0,"",SUM(P2:Q2))</f>
        <v>302</v>
      </c>
      <c r="S2" s="10">
        <v>0.27</v>
      </c>
      <c r="T2" s="10">
        <v>0.1</v>
      </c>
      <c r="U2" s="10">
        <v>7</v>
      </c>
      <c r="V2" s="10">
        <v>53</v>
      </c>
      <c r="W2" s="7">
        <v>0.36</v>
      </c>
      <c r="X2" s="7"/>
      <c r="Y2" s="11">
        <f>IF(COUNTA(W2:X2)=0,"",AVERAGE(W2:X2))-0.3</f>
        <v>0.06</v>
      </c>
      <c r="Z2" s="7"/>
      <c r="AA2" s="11">
        <f t="shared" ref="AA2:AA19" si="2">IF(Z2&lt;&gt;"",Z2,IF(Y2&lt;&gt;"",Y2*7.89,""))</f>
        <v>0.47339999999999999</v>
      </c>
      <c r="AB2" s="6"/>
      <c r="AC2" s="8"/>
      <c r="AD2" s="8"/>
      <c r="AE2" s="8"/>
      <c r="AF2" s="12"/>
    </row>
    <row r="3" spans="1:32" ht="24" customHeight="1" x14ac:dyDescent="0.25">
      <c r="A3" s="4" t="s">
        <v>55</v>
      </c>
      <c r="B3" s="4" t="s">
        <v>83</v>
      </c>
      <c r="C3" s="5" t="s">
        <v>84</v>
      </c>
      <c r="D3" s="4" t="s">
        <v>86</v>
      </c>
      <c r="E3" s="4">
        <v>2</v>
      </c>
      <c r="F3" s="6"/>
      <c r="G3" s="7"/>
      <c r="H3" s="8" t="s">
        <v>59</v>
      </c>
      <c r="I3" s="4" t="b">
        <v>1</v>
      </c>
      <c r="J3" s="9">
        <v>46209.658356481479</v>
      </c>
      <c r="K3" s="9">
        <v>46209.675324074073</v>
      </c>
      <c r="L3" s="4" t="s">
        <v>60</v>
      </c>
      <c r="M3" s="10">
        <v>96.91</v>
      </c>
      <c r="N3" s="11">
        <f t="shared" si="0"/>
        <v>119.28</v>
      </c>
      <c r="O3" s="10">
        <v>216.19</v>
      </c>
      <c r="P3" s="10">
        <v>215</v>
      </c>
      <c r="Q3" s="10">
        <v>89</v>
      </c>
      <c r="R3" s="11">
        <f t="shared" si="1"/>
        <v>304</v>
      </c>
      <c r="S3" s="10">
        <v>0.32</v>
      </c>
      <c r="T3" s="10">
        <v>0.12</v>
      </c>
      <c r="U3" s="10">
        <v>9</v>
      </c>
      <c r="V3" s="10">
        <v>53</v>
      </c>
      <c r="W3" s="7"/>
      <c r="X3" s="7"/>
      <c r="Y3" s="11"/>
      <c r="Z3" s="7"/>
      <c r="AA3" s="11" t="str">
        <f t="shared" si="2"/>
        <v/>
      </c>
      <c r="AB3" s="6"/>
      <c r="AC3" s="8"/>
      <c r="AD3" s="8"/>
      <c r="AE3" s="8"/>
      <c r="AF3" s="12"/>
    </row>
    <row r="4" spans="1:32" ht="24" customHeight="1" x14ac:dyDescent="0.25">
      <c r="A4" s="4" t="s">
        <v>55</v>
      </c>
      <c r="B4" s="4" t="s">
        <v>83</v>
      </c>
      <c r="C4" s="5" t="s">
        <v>84</v>
      </c>
      <c r="D4" s="4" t="s">
        <v>87</v>
      </c>
      <c r="E4" s="4">
        <v>3</v>
      </c>
      <c r="F4" s="6"/>
      <c r="G4" s="7"/>
      <c r="H4" s="8" t="s">
        <v>59</v>
      </c>
      <c r="I4" s="4" t="b">
        <v>1</v>
      </c>
      <c r="J4" s="9">
        <v>46209.703402777777</v>
      </c>
      <c r="K4" s="9">
        <v>46209.717326388891</v>
      </c>
      <c r="L4" s="4" t="s">
        <v>60</v>
      </c>
      <c r="M4" s="10">
        <v>97.61</v>
      </c>
      <c r="N4" s="11">
        <f t="shared" si="0"/>
        <v>115.01</v>
      </c>
      <c r="O4" s="10">
        <v>212.62</v>
      </c>
      <c r="P4" s="10">
        <v>210</v>
      </c>
      <c r="Q4" s="10">
        <v>88</v>
      </c>
      <c r="R4" s="11">
        <f t="shared" si="1"/>
        <v>298</v>
      </c>
      <c r="S4" s="10">
        <v>0.36</v>
      </c>
      <c r="T4" s="10">
        <v>0.14000000000000001</v>
      </c>
      <c r="U4" s="10">
        <v>17</v>
      </c>
      <c r="V4" s="10">
        <v>52</v>
      </c>
      <c r="W4" s="7">
        <v>0.4</v>
      </c>
      <c r="X4" s="7"/>
      <c r="Y4" s="11">
        <f t="shared" ref="Y3:Y19" si="3">IF(COUNTA(W4:X4)=0,"",AVERAGE(W4:X4))-0.3</f>
        <v>0.10000000000000003</v>
      </c>
      <c r="Z4" s="7"/>
      <c r="AA4" s="11">
        <f t="shared" si="2"/>
        <v>0.78900000000000026</v>
      </c>
      <c r="AB4" s="6"/>
      <c r="AC4" s="8"/>
      <c r="AD4" s="8"/>
      <c r="AE4" s="8"/>
      <c r="AF4" s="12"/>
    </row>
    <row r="5" spans="1:32" ht="24" customHeight="1" x14ac:dyDescent="0.25">
      <c r="A5" s="4" t="s">
        <v>55</v>
      </c>
      <c r="B5" s="4" t="s">
        <v>83</v>
      </c>
      <c r="C5" s="5" t="s">
        <v>84</v>
      </c>
      <c r="D5" s="4" t="s">
        <v>88</v>
      </c>
      <c r="E5" s="4">
        <v>4</v>
      </c>
      <c r="F5" s="6"/>
      <c r="G5" s="7"/>
      <c r="H5" s="8" t="s">
        <v>59</v>
      </c>
      <c r="I5" s="4" t="b">
        <v>1</v>
      </c>
      <c r="J5" s="9">
        <v>46210.368993055563</v>
      </c>
      <c r="K5" s="9">
        <v>46210.382361111107</v>
      </c>
      <c r="L5" s="4" t="s">
        <v>64</v>
      </c>
      <c r="M5" s="10">
        <v>91.05</v>
      </c>
      <c r="N5" s="11">
        <f t="shared" si="0"/>
        <v>110.86999999999999</v>
      </c>
      <c r="O5" s="10">
        <v>201.92</v>
      </c>
      <c r="P5" s="10">
        <v>180</v>
      </c>
      <c r="Q5" s="10">
        <v>60</v>
      </c>
      <c r="R5" s="11">
        <f t="shared" si="1"/>
        <v>240</v>
      </c>
      <c r="S5" s="10">
        <v>1.31</v>
      </c>
      <c r="T5" s="10">
        <v>0.31</v>
      </c>
      <c r="U5" s="10">
        <v>44</v>
      </c>
      <c r="V5" s="10">
        <v>74</v>
      </c>
      <c r="W5" s="7">
        <v>0.93</v>
      </c>
      <c r="X5" s="7"/>
      <c r="Y5" s="11">
        <f t="shared" si="3"/>
        <v>0.63000000000000012</v>
      </c>
      <c r="Z5" s="7"/>
      <c r="AA5" s="11">
        <f t="shared" si="2"/>
        <v>4.9707000000000008</v>
      </c>
      <c r="AB5" s="6"/>
      <c r="AC5" s="8"/>
      <c r="AD5" s="8"/>
      <c r="AE5" s="8"/>
      <c r="AF5" s="12"/>
    </row>
    <row r="6" spans="1:32" ht="24" customHeight="1" x14ac:dyDescent="0.25">
      <c r="A6" s="4" t="s">
        <v>55</v>
      </c>
      <c r="B6" s="4" t="s">
        <v>83</v>
      </c>
      <c r="C6" s="5" t="s">
        <v>84</v>
      </c>
      <c r="D6" s="4" t="s">
        <v>89</v>
      </c>
      <c r="E6" s="4">
        <v>5</v>
      </c>
      <c r="F6" s="6"/>
      <c r="G6" s="7"/>
      <c r="H6" s="8" t="s">
        <v>59</v>
      </c>
      <c r="I6" s="4" t="b">
        <v>1</v>
      </c>
      <c r="J6" s="9">
        <v>46210.528460648151</v>
      </c>
      <c r="K6" s="9">
        <v>46210.557662037027</v>
      </c>
      <c r="L6" s="4" t="s">
        <v>64</v>
      </c>
      <c r="M6" s="10">
        <v>85.76</v>
      </c>
      <c r="N6" s="11">
        <f t="shared" si="0"/>
        <v>112.27999999999999</v>
      </c>
      <c r="O6" s="10">
        <v>198.04</v>
      </c>
      <c r="P6" s="10">
        <v>169</v>
      </c>
      <c r="Q6" s="10">
        <v>56</v>
      </c>
      <c r="R6" s="11">
        <f t="shared" si="1"/>
        <v>225</v>
      </c>
      <c r="S6" s="10">
        <v>1.22</v>
      </c>
      <c r="T6" s="10">
        <v>0.32</v>
      </c>
      <c r="U6" s="10">
        <v>60</v>
      </c>
      <c r="V6" s="10">
        <v>95</v>
      </c>
      <c r="W6" s="7"/>
      <c r="X6" s="7"/>
      <c r="Y6" s="11"/>
      <c r="Z6" s="7"/>
      <c r="AA6" s="11" t="str">
        <f t="shared" si="2"/>
        <v/>
      </c>
      <c r="AB6" s="6"/>
      <c r="AC6" s="8"/>
      <c r="AD6" s="8"/>
      <c r="AE6" s="8"/>
      <c r="AF6" s="12"/>
    </row>
    <row r="7" spans="1:32" ht="24" customHeight="1" x14ac:dyDescent="0.25">
      <c r="A7" s="4" t="s">
        <v>55</v>
      </c>
      <c r="B7" s="4" t="s">
        <v>83</v>
      </c>
      <c r="C7" s="5" t="s">
        <v>84</v>
      </c>
      <c r="D7" s="4" t="s">
        <v>90</v>
      </c>
      <c r="E7" s="4">
        <v>6</v>
      </c>
      <c r="F7" s="6"/>
      <c r="G7" s="7"/>
      <c r="H7" s="8" t="s">
        <v>59</v>
      </c>
      <c r="I7" s="4" t="b">
        <v>1</v>
      </c>
      <c r="J7" s="9">
        <v>46210.633530092593</v>
      </c>
      <c r="K7" s="9">
        <v>46210.649421296293</v>
      </c>
      <c r="L7" s="4" t="s">
        <v>64</v>
      </c>
      <c r="M7" s="10">
        <v>85.54</v>
      </c>
      <c r="N7" s="11">
        <f t="shared" si="0"/>
        <v>109.92</v>
      </c>
      <c r="O7" s="10">
        <v>195.46</v>
      </c>
      <c r="P7" s="10">
        <v>162</v>
      </c>
      <c r="Q7" s="10">
        <v>55</v>
      </c>
      <c r="R7" s="11">
        <f t="shared" si="1"/>
        <v>217</v>
      </c>
      <c r="S7" s="10">
        <v>1.51</v>
      </c>
      <c r="T7" s="10">
        <v>0.4</v>
      </c>
      <c r="U7" s="10">
        <v>66</v>
      </c>
      <c r="V7" s="10">
        <v>106</v>
      </c>
      <c r="W7" s="7"/>
      <c r="X7" s="7"/>
      <c r="Y7" s="11"/>
      <c r="Z7" s="7"/>
      <c r="AA7" s="11" t="str">
        <f t="shared" si="2"/>
        <v/>
      </c>
      <c r="AB7" s="6"/>
      <c r="AC7" s="8"/>
      <c r="AD7" s="8"/>
      <c r="AE7" s="8"/>
      <c r="AF7" s="12"/>
    </row>
    <row r="8" spans="1:32" ht="24" customHeight="1" x14ac:dyDescent="0.25">
      <c r="A8" s="4" t="s">
        <v>55</v>
      </c>
      <c r="B8" s="4" t="s">
        <v>83</v>
      </c>
      <c r="C8" s="5" t="s">
        <v>84</v>
      </c>
      <c r="D8" s="4" t="s">
        <v>91</v>
      </c>
      <c r="E8" s="4">
        <v>7</v>
      </c>
      <c r="F8" s="6"/>
      <c r="G8" s="7"/>
      <c r="H8" s="8" t="s">
        <v>59</v>
      </c>
      <c r="I8" s="4" t="b">
        <v>0</v>
      </c>
      <c r="J8" s="9"/>
      <c r="K8" s="9"/>
      <c r="L8" s="4"/>
      <c r="M8" s="10"/>
      <c r="N8" s="11" t="str">
        <f t="shared" si="0"/>
        <v/>
      </c>
      <c r="O8" s="10"/>
      <c r="P8" s="10"/>
      <c r="Q8" s="10"/>
      <c r="R8" s="11" t="str">
        <f t="shared" si="1"/>
        <v/>
      </c>
      <c r="S8" s="10"/>
      <c r="T8" s="10"/>
      <c r="U8" s="10"/>
      <c r="V8" s="10"/>
      <c r="W8" s="7">
        <v>1.46</v>
      </c>
      <c r="X8" s="7"/>
      <c r="Y8" s="11">
        <f t="shared" si="3"/>
        <v>1.1599999999999999</v>
      </c>
      <c r="Z8" s="7"/>
      <c r="AA8" s="11">
        <f t="shared" si="2"/>
        <v>9.1523999999999983</v>
      </c>
      <c r="AB8" s="6"/>
      <c r="AC8" s="8"/>
      <c r="AD8" s="8"/>
      <c r="AE8" s="8"/>
      <c r="AF8" s="12"/>
    </row>
    <row r="9" spans="1:32" ht="24" customHeight="1" x14ac:dyDescent="0.25">
      <c r="A9" s="4" t="s">
        <v>55</v>
      </c>
      <c r="B9" s="4" t="s">
        <v>83</v>
      </c>
      <c r="C9" s="5" t="s">
        <v>84</v>
      </c>
      <c r="D9" s="4" t="s">
        <v>92</v>
      </c>
      <c r="E9" s="4">
        <v>8</v>
      </c>
      <c r="F9" s="6"/>
      <c r="G9" s="7"/>
      <c r="H9" s="8" t="s">
        <v>59</v>
      </c>
      <c r="I9" s="4" t="b">
        <v>1</v>
      </c>
      <c r="J9" s="9">
        <v>46211.430347222216</v>
      </c>
      <c r="K9" s="9">
        <v>46211.442314814813</v>
      </c>
      <c r="L9" s="4" t="s">
        <v>69</v>
      </c>
      <c r="M9" s="10">
        <v>64.86</v>
      </c>
      <c r="N9" s="11">
        <f t="shared" si="0"/>
        <v>94.29</v>
      </c>
      <c r="O9" s="10">
        <v>159.15</v>
      </c>
      <c r="P9" s="10">
        <v>31</v>
      </c>
      <c r="Q9" s="10">
        <v>41</v>
      </c>
      <c r="R9" s="11">
        <f t="shared" si="1"/>
        <v>72</v>
      </c>
      <c r="S9" s="10">
        <v>3.78</v>
      </c>
      <c r="T9" s="10">
        <v>0.53</v>
      </c>
      <c r="U9" s="10">
        <v>106</v>
      </c>
      <c r="V9" s="10">
        <v>163</v>
      </c>
      <c r="W9" s="7">
        <v>3.27</v>
      </c>
      <c r="X9" s="7"/>
      <c r="Y9" s="11">
        <f t="shared" si="3"/>
        <v>2.97</v>
      </c>
      <c r="Z9" s="7"/>
      <c r="AA9" s="11">
        <f t="shared" si="2"/>
        <v>23.433299999999999</v>
      </c>
      <c r="AB9" s="6"/>
      <c r="AC9" s="8"/>
      <c r="AD9" s="8"/>
      <c r="AE9" s="8"/>
      <c r="AF9" s="12"/>
    </row>
    <row r="10" spans="1:32" ht="24" customHeight="1" x14ac:dyDescent="0.25">
      <c r="A10" s="4" t="s">
        <v>55</v>
      </c>
      <c r="B10" s="4" t="s">
        <v>83</v>
      </c>
      <c r="C10" s="5" t="s">
        <v>84</v>
      </c>
      <c r="D10" s="4" t="s">
        <v>93</v>
      </c>
      <c r="E10" s="4">
        <v>9</v>
      </c>
      <c r="F10" s="6"/>
      <c r="G10" s="7"/>
      <c r="H10" s="8" t="s">
        <v>59</v>
      </c>
      <c r="I10" s="4" t="b">
        <v>1</v>
      </c>
      <c r="J10" s="9">
        <v>46211.621087962973</v>
      </c>
      <c r="K10" s="9">
        <v>46211.638888888891</v>
      </c>
      <c r="L10" s="4" t="s">
        <v>69</v>
      </c>
      <c r="M10" s="10">
        <v>57.91</v>
      </c>
      <c r="N10" s="11">
        <f t="shared" si="0"/>
        <v>86.41</v>
      </c>
      <c r="O10" s="10">
        <v>144.32</v>
      </c>
      <c r="P10" s="10">
        <v>12</v>
      </c>
      <c r="Q10" s="10">
        <v>39</v>
      </c>
      <c r="R10" s="11">
        <f t="shared" si="1"/>
        <v>51</v>
      </c>
      <c r="S10" s="10">
        <v>3.75</v>
      </c>
      <c r="T10" s="10">
        <v>0.53</v>
      </c>
      <c r="U10" s="10">
        <v>95</v>
      </c>
      <c r="V10" s="10">
        <v>187</v>
      </c>
      <c r="W10" s="7"/>
      <c r="X10" s="7"/>
      <c r="Y10" s="11"/>
      <c r="Z10" s="7"/>
      <c r="AA10" s="11" t="str">
        <f t="shared" si="2"/>
        <v/>
      </c>
      <c r="AB10" s="6"/>
      <c r="AC10" s="8"/>
      <c r="AD10" s="8"/>
      <c r="AE10" s="8"/>
      <c r="AF10" s="12"/>
    </row>
    <row r="11" spans="1:32" ht="24" customHeight="1" x14ac:dyDescent="0.25">
      <c r="A11" s="4" t="s">
        <v>55</v>
      </c>
      <c r="B11" s="4" t="s">
        <v>83</v>
      </c>
      <c r="C11" s="5" t="s">
        <v>84</v>
      </c>
      <c r="D11" s="4" t="s">
        <v>94</v>
      </c>
      <c r="E11" s="4">
        <v>10</v>
      </c>
      <c r="F11" s="6"/>
      <c r="G11" s="7"/>
      <c r="H11" s="8" t="s">
        <v>59</v>
      </c>
      <c r="I11" s="4" t="b">
        <v>1</v>
      </c>
      <c r="J11" s="9">
        <v>46211.692523148151</v>
      </c>
      <c r="K11" s="9">
        <v>46211.706990740742</v>
      </c>
      <c r="L11" s="4" t="s">
        <v>69</v>
      </c>
      <c r="M11" s="10">
        <v>55.24</v>
      </c>
      <c r="N11" s="11">
        <f t="shared" si="0"/>
        <v>86.859999999999985</v>
      </c>
      <c r="O11" s="10">
        <v>142.1</v>
      </c>
      <c r="P11" s="10">
        <v>11</v>
      </c>
      <c r="Q11" s="10">
        <v>40</v>
      </c>
      <c r="R11" s="11">
        <f t="shared" si="1"/>
        <v>51</v>
      </c>
      <c r="S11" s="10"/>
      <c r="T11" s="10">
        <v>0.59</v>
      </c>
      <c r="U11" s="10">
        <v>92</v>
      </c>
      <c r="V11" s="10">
        <v>153</v>
      </c>
      <c r="W11" s="7">
        <v>4.01</v>
      </c>
      <c r="X11" s="7"/>
      <c r="Y11" s="11">
        <f t="shared" si="3"/>
        <v>3.71</v>
      </c>
      <c r="Z11" s="7"/>
      <c r="AA11" s="11">
        <f t="shared" si="2"/>
        <v>29.271899999999999</v>
      </c>
      <c r="AB11" s="6"/>
      <c r="AC11" s="8"/>
      <c r="AD11" s="8"/>
      <c r="AE11" s="8"/>
      <c r="AF11" s="12"/>
    </row>
    <row r="12" spans="1:32" ht="24" customHeight="1" x14ac:dyDescent="0.25">
      <c r="A12" s="4" t="s">
        <v>55</v>
      </c>
      <c r="B12" s="4" t="s">
        <v>83</v>
      </c>
      <c r="C12" s="5" t="s">
        <v>84</v>
      </c>
      <c r="D12" s="4" t="s">
        <v>95</v>
      </c>
      <c r="E12" s="4">
        <v>11</v>
      </c>
      <c r="F12" s="6"/>
      <c r="G12" s="7"/>
      <c r="H12" s="8" t="s">
        <v>59</v>
      </c>
      <c r="I12" s="4" t="b">
        <v>1</v>
      </c>
      <c r="J12" s="9">
        <v>46212.437881944446</v>
      </c>
      <c r="K12" s="9">
        <v>46212.453182870369</v>
      </c>
      <c r="L12" s="4" t="s">
        <v>73</v>
      </c>
      <c r="M12" s="10">
        <v>37.479999999999997</v>
      </c>
      <c r="N12" s="11">
        <f t="shared" si="0"/>
        <v>72.59</v>
      </c>
      <c r="O12" s="10">
        <v>110.07</v>
      </c>
      <c r="P12" s="10">
        <v>-2</v>
      </c>
      <c r="Q12" s="10">
        <v>26</v>
      </c>
      <c r="R12" s="11">
        <f t="shared" si="1"/>
        <v>24</v>
      </c>
      <c r="S12" s="10">
        <v>5.39</v>
      </c>
      <c r="T12" s="10">
        <v>0.67</v>
      </c>
      <c r="U12" s="10">
        <v>76</v>
      </c>
      <c r="V12" s="10">
        <v>80</v>
      </c>
      <c r="W12" s="7">
        <v>5.99</v>
      </c>
      <c r="X12" s="7"/>
      <c r="Y12" s="11">
        <f t="shared" si="3"/>
        <v>5.69</v>
      </c>
      <c r="Z12" s="7"/>
      <c r="AA12" s="11">
        <f t="shared" si="2"/>
        <v>44.894100000000002</v>
      </c>
      <c r="AB12" s="6"/>
      <c r="AC12" s="8"/>
      <c r="AD12" s="8"/>
      <c r="AE12" s="8"/>
      <c r="AF12" s="12"/>
    </row>
    <row r="13" spans="1:32" ht="24" customHeight="1" x14ac:dyDescent="0.25">
      <c r="A13" s="4" t="s">
        <v>55</v>
      </c>
      <c r="B13" s="4" t="s">
        <v>83</v>
      </c>
      <c r="C13" s="5" t="s">
        <v>84</v>
      </c>
      <c r="D13" s="4" t="s">
        <v>96</v>
      </c>
      <c r="E13" s="4">
        <v>12</v>
      </c>
      <c r="F13" s="6"/>
      <c r="G13" s="7"/>
      <c r="H13" s="8" t="s">
        <v>59</v>
      </c>
      <c r="I13" s="4" t="b">
        <v>1</v>
      </c>
      <c r="J13" s="9">
        <v>46212.532384259262</v>
      </c>
      <c r="K13" s="9">
        <v>46212.544085648151</v>
      </c>
      <c r="L13" s="4" t="s">
        <v>73</v>
      </c>
      <c r="M13" s="10">
        <v>38.950000000000003</v>
      </c>
      <c r="N13" s="11">
        <f t="shared" si="0"/>
        <v>70.42</v>
      </c>
      <c r="O13" s="10">
        <v>109.37</v>
      </c>
      <c r="P13" s="10">
        <v>4</v>
      </c>
      <c r="Q13" s="10">
        <v>31</v>
      </c>
      <c r="R13" s="11">
        <f t="shared" si="1"/>
        <v>35</v>
      </c>
      <c r="S13" s="10">
        <v>5.55</v>
      </c>
      <c r="T13" s="10">
        <v>0.7</v>
      </c>
      <c r="U13" s="10">
        <v>70</v>
      </c>
      <c r="V13" s="10">
        <v>143</v>
      </c>
      <c r="W13" s="7"/>
      <c r="X13" s="7"/>
      <c r="Y13" s="11"/>
      <c r="Z13" s="7"/>
      <c r="AA13" s="11" t="str">
        <f t="shared" si="2"/>
        <v/>
      </c>
      <c r="AB13" s="6"/>
      <c r="AC13" s="8"/>
      <c r="AD13" s="8"/>
      <c r="AE13" s="8"/>
      <c r="AF13" s="12"/>
    </row>
    <row r="14" spans="1:32" ht="24" customHeight="1" x14ac:dyDescent="0.25">
      <c r="A14" s="4" t="s">
        <v>55</v>
      </c>
      <c r="B14" s="4" t="s">
        <v>83</v>
      </c>
      <c r="C14" s="5" t="s">
        <v>84</v>
      </c>
      <c r="D14" s="4" t="s">
        <v>97</v>
      </c>
      <c r="E14" s="4">
        <v>13</v>
      </c>
      <c r="F14" s="6"/>
      <c r="G14" s="7"/>
      <c r="H14" s="8" t="s">
        <v>59</v>
      </c>
      <c r="I14" s="4" t="b">
        <v>1</v>
      </c>
      <c r="J14" s="9">
        <v>46212.713576388887</v>
      </c>
      <c r="K14" s="9">
        <v>46212.747604166667</v>
      </c>
      <c r="L14" s="4" t="s">
        <v>73</v>
      </c>
      <c r="M14" s="10">
        <v>32.44</v>
      </c>
      <c r="N14" s="11">
        <f t="shared" si="0"/>
        <v>69.95</v>
      </c>
      <c r="O14" s="10">
        <v>102.39</v>
      </c>
      <c r="P14" s="10">
        <v>0</v>
      </c>
      <c r="Q14" s="10">
        <v>29</v>
      </c>
      <c r="R14" s="11">
        <f t="shared" si="1"/>
        <v>29</v>
      </c>
      <c r="S14" s="10">
        <v>5.68</v>
      </c>
      <c r="T14" s="10">
        <v>0.77</v>
      </c>
      <c r="U14" s="10">
        <v>57</v>
      </c>
      <c r="V14" s="10">
        <v>77</v>
      </c>
      <c r="W14" s="7">
        <v>6.69</v>
      </c>
      <c r="X14" s="7"/>
      <c r="Y14" s="11">
        <f t="shared" si="3"/>
        <v>6.3900000000000006</v>
      </c>
      <c r="Z14" s="7"/>
      <c r="AA14" s="11">
        <f t="shared" si="2"/>
        <v>50.417100000000005</v>
      </c>
      <c r="AB14" s="6"/>
      <c r="AC14" s="8"/>
      <c r="AD14" s="8"/>
      <c r="AE14" s="8"/>
      <c r="AF14" s="12"/>
    </row>
    <row r="15" spans="1:32" ht="24" customHeight="1" x14ac:dyDescent="0.25">
      <c r="A15" s="4" t="s">
        <v>55</v>
      </c>
      <c r="B15" s="4" t="s">
        <v>83</v>
      </c>
      <c r="C15" s="5" t="s">
        <v>84</v>
      </c>
      <c r="D15" s="4" t="s">
        <v>98</v>
      </c>
      <c r="E15" s="4">
        <v>14</v>
      </c>
      <c r="F15" s="6"/>
      <c r="G15" s="7"/>
      <c r="H15" s="8" t="s">
        <v>59</v>
      </c>
      <c r="I15" s="4" t="b">
        <v>0</v>
      </c>
      <c r="J15" s="9"/>
      <c r="K15" s="9"/>
      <c r="L15" s="4"/>
      <c r="M15" s="10"/>
      <c r="N15" s="11" t="str">
        <f t="shared" si="0"/>
        <v/>
      </c>
      <c r="O15" s="10"/>
      <c r="P15" s="10"/>
      <c r="Q15" s="10"/>
      <c r="R15" s="11" t="str">
        <f t="shared" si="1"/>
        <v/>
      </c>
      <c r="S15" s="10"/>
      <c r="T15" s="10"/>
      <c r="U15" s="10"/>
      <c r="V15" s="10"/>
      <c r="W15" s="7">
        <v>8.42</v>
      </c>
      <c r="X15" s="7"/>
      <c r="Y15" s="11">
        <f t="shared" si="3"/>
        <v>8.1199999999999992</v>
      </c>
      <c r="Z15" s="7"/>
      <c r="AA15" s="11">
        <f t="shared" si="2"/>
        <v>64.066799999999986</v>
      </c>
      <c r="AB15" s="6"/>
      <c r="AC15" s="8"/>
      <c r="AD15" s="8"/>
      <c r="AE15" s="8"/>
      <c r="AF15" s="12"/>
    </row>
    <row r="16" spans="1:32" ht="24" customHeight="1" x14ac:dyDescent="0.25">
      <c r="A16" s="4" t="s">
        <v>55</v>
      </c>
      <c r="B16" s="4" t="s">
        <v>83</v>
      </c>
      <c r="C16" s="5" t="s">
        <v>84</v>
      </c>
      <c r="D16" s="4" t="s">
        <v>99</v>
      </c>
      <c r="E16" s="4">
        <v>15</v>
      </c>
      <c r="F16" s="6"/>
      <c r="G16" s="7"/>
      <c r="H16" s="8" t="s">
        <v>59</v>
      </c>
      <c r="I16" s="4" t="b">
        <v>1</v>
      </c>
      <c r="J16" s="9">
        <v>46213.422974537039</v>
      </c>
      <c r="K16" s="9">
        <v>46213.436886574083</v>
      </c>
      <c r="L16" s="4" t="s">
        <v>78</v>
      </c>
      <c r="M16" s="10">
        <v>20.07</v>
      </c>
      <c r="N16" s="11">
        <f t="shared" si="0"/>
        <v>54.610000000000007</v>
      </c>
      <c r="O16" s="10">
        <v>74.680000000000007</v>
      </c>
      <c r="P16" s="10">
        <v>-3</v>
      </c>
      <c r="Q16" s="10">
        <v>26</v>
      </c>
      <c r="R16" s="11">
        <f t="shared" si="1"/>
        <v>23</v>
      </c>
      <c r="S16" s="10">
        <v>5.97</v>
      </c>
      <c r="T16" s="10">
        <v>0.72</v>
      </c>
      <c r="U16" s="10">
        <v>37</v>
      </c>
      <c r="V16" s="10">
        <v>69</v>
      </c>
      <c r="W16" s="7">
        <v>8.64</v>
      </c>
      <c r="X16" s="7"/>
      <c r="Y16" s="11">
        <f t="shared" si="3"/>
        <v>8.34</v>
      </c>
      <c r="Z16" s="7"/>
      <c r="AA16" s="11">
        <f t="shared" si="2"/>
        <v>65.802599999999998</v>
      </c>
      <c r="AB16" s="6"/>
      <c r="AC16" s="8"/>
      <c r="AD16" s="8"/>
      <c r="AE16" s="8"/>
      <c r="AF16" s="12"/>
    </row>
    <row r="17" spans="1:32" ht="24" customHeight="1" x14ac:dyDescent="0.25">
      <c r="A17" s="4" t="s">
        <v>55</v>
      </c>
      <c r="B17" s="4" t="s">
        <v>83</v>
      </c>
      <c r="C17" s="5" t="s">
        <v>84</v>
      </c>
      <c r="D17" s="4" t="s">
        <v>100</v>
      </c>
      <c r="E17" s="4">
        <v>16</v>
      </c>
      <c r="F17" s="6"/>
      <c r="G17" s="7"/>
      <c r="H17" s="8" t="s">
        <v>59</v>
      </c>
      <c r="I17" s="4" t="b">
        <v>1</v>
      </c>
      <c r="J17" s="9">
        <v>46213.540810185194</v>
      </c>
      <c r="K17" s="9">
        <v>46213.555844907409</v>
      </c>
      <c r="L17" s="4" t="s">
        <v>78</v>
      </c>
      <c r="M17" s="10">
        <v>17.739999999999998</v>
      </c>
      <c r="N17" s="11">
        <f t="shared" si="0"/>
        <v>52.27000000000001</v>
      </c>
      <c r="O17" s="10">
        <v>70.010000000000005</v>
      </c>
      <c r="P17" s="10">
        <v>-2</v>
      </c>
      <c r="Q17" s="10">
        <v>28</v>
      </c>
      <c r="R17" s="11">
        <f t="shared" si="1"/>
        <v>26</v>
      </c>
      <c r="S17" s="10">
        <v>5.92</v>
      </c>
      <c r="T17" s="10">
        <v>0.67</v>
      </c>
      <c r="U17" s="10">
        <v>34</v>
      </c>
      <c r="V17" s="10">
        <v>72</v>
      </c>
      <c r="W17" s="7">
        <v>12.02</v>
      </c>
      <c r="X17" s="7"/>
      <c r="Y17" s="11">
        <f t="shared" si="3"/>
        <v>11.719999999999999</v>
      </c>
      <c r="Z17" s="7"/>
      <c r="AA17" s="11">
        <f t="shared" si="2"/>
        <v>92.470799999999983</v>
      </c>
      <c r="AB17" s="6"/>
      <c r="AC17" s="8"/>
      <c r="AD17" s="8"/>
      <c r="AE17" s="8"/>
      <c r="AF17" s="12"/>
    </row>
    <row r="18" spans="1:32" ht="24" customHeight="1" x14ac:dyDescent="0.25">
      <c r="A18" s="4" t="s">
        <v>55</v>
      </c>
      <c r="B18" s="4" t="s">
        <v>83</v>
      </c>
      <c r="C18" s="5" t="s">
        <v>84</v>
      </c>
      <c r="D18" s="4" t="s">
        <v>101</v>
      </c>
      <c r="E18" s="4">
        <v>17</v>
      </c>
      <c r="F18" s="6"/>
      <c r="G18" s="7"/>
      <c r="H18" s="8" t="s">
        <v>59</v>
      </c>
      <c r="I18" s="4" t="b">
        <v>0</v>
      </c>
      <c r="J18" s="9"/>
      <c r="K18" s="9"/>
      <c r="L18" s="4"/>
      <c r="M18" s="10"/>
      <c r="N18" s="11" t="str">
        <f t="shared" si="0"/>
        <v/>
      </c>
      <c r="O18" s="10"/>
      <c r="P18" s="10"/>
      <c r="Q18" s="10"/>
      <c r="R18" s="11" t="str">
        <f t="shared" si="1"/>
        <v/>
      </c>
      <c r="S18" s="10"/>
      <c r="T18" s="10"/>
      <c r="U18" s="10"/>
      <c r="V18" s="10"/>
      <c r="W18" s="7">
        <v>12.06</v>
      </c>
      <c r="X18" s="7"/>
      <c r="Y18" s="11">
        <f t="shared" si="3"/>
        <v>11.76</v>
      </c>
      <c r="Z18" s="7"/>
      <c r="AA18" s="11">
        <f t="shared" si="2"/>
        <v>92.7864</v>
      </c>
      <c r="AB18" s="6"/>
      <c r="AC18" s="8"/>
      <c r="AD18" s="8"/>
      <c r="AE18" s="8"/>
      <c r="AF18" s="12"/>
    </row>
    <row r="19" spans="1:32" ht="24" customHeight="1" x14ac:dyDescent="0.25">
      <c r="A19" s="4" t="s">
        <v>55</v>
      </c>
      <c r="B19" s="4" t="s">
        <v>83</v>
      </c>
      <c r="C19" s="5" t="s">
        <v>84</v>
      </c>
      <c r="D19" s="4" t="s">
        <v>102</v>
      </c>
      <c r="E19" s="4">
        <v>18</v>
      </c>
      <c r="F19" s="6"/>
      <c r="G19" s="7"/>
      <c r="H19" s="8" t="s">
        <v>59</v>
      </c>
      <c r="I19" s="4" t="b">
        <v>1</v>
      </c>
      <c r="J19" s="9">
        <v>46217.465254629627</v>
      </c>
      <c r="K19" s="9">
        <v>46217.484722222223</v>
      </c>
      <c r="L19" s="4" t="s">
        <v>82</v>
      </c>
      <c r="M19" s="10">
        <v>-0.15</v>
      </c>
      <c r="N19" s="11">
        <f t="shared" si="0"/>
        <v>12.32</v>
      </c>
      <c r="O19" s="10">
        <v>12.17</v>
      </c>
      <c r="P19" s="10">
        <v>-1</v>
      </c>
      <c r="Q19" s="10">
        <v>25</v>
      </c>
      <c r="R19" s="11">
        <f t="shared" si="1"/>
        <v>24</v>
      </c>
      <c r="S19" s="10">
        <v>6.8</v>
      </c>
      <c r="T19" s="10">
        <v>0.79</v>
      </c>
      <c r="U19" s="10">
        <v>40</v>
      </c>
      <c r="V19" s="10"/>
      <c r="W19" s="7">
        <v>12.43</v>
      </c>
      <c r="X19" s="7"/>
      <c r="Y19" s="11">
        <f t="shared" si="3"/>
        <v>12.129999999999999</v>
      </c>
      <c r="Z19" s="7"/>
      <c r="AA19" s="11">
        <f t="shared" si="2"/>
        <v>95.705699999999993</v>
      </c>
      <c r="AB19" s="6"/>
      <c r="AC19" s="8"/>
      <c r="AD19" s="8"/>
      <c r="AE19" s="8"/>
      <c r="AF19" s="12"/>
    </row>
  </sheetData>
  <autoFilter ref="A1:AF19" xr:uid="{00000000-0009-0000-0000-000002000000}"/>
  <conditionalFormatting sqref="A2:AF19">
    <cfRule type="expression" dxfId="2" priority="1">
      <formula>$I2=FALSE</formula>
    </cfRule>
  </conditionalFormatting>
  <dataValidations count="1">
    <dataValidation type="list" allowBlank="1" sqref="AE2:AE19" xr:uid="{00000000-0002-0000-0200-000000000000}">
      <formula1>"OK,not_measured,below_LOQ,above_range,suspect,rerun,discard"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9"/>
  <sheetViews>
    <sheetView topLeftCell="D1" zoomScale="80" workbookViewId="0">
      <pane xSplit="1" topLeftCell="L1" activePane="topRight" state="frozen"/>
      <selection activeCell="D1" sqref="D1"/>
      <selection pane="topRight" activeCell="Z16" sqref="Z16"/>
    </sheetView>
  </sheetViews>
  <sheetFormatPr baseColWidth="10" defaultColWidth="9.140625" defaultRowHeight="15" x14ac:dyDescent="0.25"/>
  <cols>
    <col min="1" max="1" width="15" hidden="1" customWidth="1"/>
    <col min="2" max="2" width="9" hidden="1" customWidth="1"/>
    <col min="3" max="3" width="42" hidden="1" customWidth="1"/>
    <col min="4" max="4" width="18" customWidth="1"/>
    <col min="5" max="5" width="12" customWidth="1"/>
    <col min="6" max="6" width="22" customWidth="1"/>
    <col min="7" max="7" width="10" customWidth="1"/>
    <col min="8" max="8" width="23" customWidth="1"/>
    <col min="9" max="9" width="16" customWidth="1"/>
    <col min="10" max="11" width="22" customWidth="1"/>
    <col min="12" max="12" width="34" customWidth="1"/>
    <col min="13" max="14" width="13" customWidth="1"/>
    <col min="15" max="15" width="15" customWidth="1"/>
    <col min="16" max="16" width="14" customWidth="1"/>
    <col min="17" max="17" width="12" customWidth="1"/>
    <col min="18" max="18" width="16" customWidth="1"/>
    <col min="19" max="19" width="13" customWidth="1"/>
    <col min="20" max="20" width="14" customWidth="1"/>
    <col min="21" max="21" width="17" customWidth="1"/>
    <col min="22" max="25" width="18" customWidth="1"/>
    <col min="26" max="26" width="16" customWidth="1"/>
    <col min="27" max="27" width="18" customWidth="1"/>
    <col min="28" max="28" width="24" customWidth="1"/>
    <col min="29" max="29" width="18" customWidth="1"/>
    <col min="30" max="31" width="16" customWidth="1"/>
    <col min="32" max="32" width="34" customWidth="1"/>
  </cols>
  <sheetData>
    <row r="1" spans="1:32" ht="42" customHeight="1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  <c r="X1" s="3" t="s">
        <v>46</v>
      </c>
      <c r="Y1" s="3" t="s">
        <v>47</v>
      </c>
      <c r="Z1" s="3" t="s">
        <v>48</v>
      </c>
      <c r="AA1" s="3" t="s">
        <v>49</v>
      </c>
      <c r="AB1" s="3" t="s">
        <v>50</v>
      </c>
      <c r="AC1" s="3" t="s">
        <v>51</v>
      </c>
      <c r="AD1" s="3" t="s">
        <v>52</v>
      </c>
      <c r="AE1" s="3" t="s">
        <v>53</v>
      </c>
      <c r="AF1" s="3" t="s">
        <v>54</v>
      </c>
    </row>
    <row r="2" spans="1:32" ht="24" customHeight="1" x14ac:dyDescent="0.25">
      <c r="A2" s="4" t="s">
        <v>55</v>
      </c>
      <c r="B2" s="4" t="s">
        <v>103</v>
      </c>
      <c r="C2" s="5" t="s">
        <v>104</v>
      </c>
      <c r="D2" s="4" t="s">
        <v>105</v>
      </c>
      <c r="E2" s="4">
        <v>1</v>
      </c>
      <c r="F2" s="6"/>
      <c r="G2" s="7"/>
      <c r="H2" s="8" t="s">
        <v>59</v>
      </c>
      <c r="I2" s="4" t="b">
        <v>1</v>
      </c>
      <c r="J2" s="9">
        <v>46209.568877314807</v>
      </c>
      <c r="K2" s="9">
        <v>46209.572766203702</v>
      </c>
      <c r="L2" s="4" t="s">
        <v>60</v>
      </c>
      <c r="M2" s="10">
        <v>71.83</v>
      </c>
      <c r="N2" s="11">
        <f t="shared" ref="N2:N19" si="0">IF(OR(M2="",O2=""),"",O2-M2)</f>
        <v>87.61</v>
      </c>
      <c r="O2" s="10">
        <v>159.44</v>
      </c>
      <c r="P2" s="10">
        <v>135</v>
      </c>
      <c r="Q2" s="10">
        <v>55</v>
      </c>
      <c r="R2" s="11">
        <f t="shared" ref="R2:R19" si="1">IF(COUNTA(P2:Q2)=0,"",SUM(P2:Q2))</f>
        <v>190</v>
      </c>
      <c r="S2" s="10">
        <v>0.42</v>
      </c>
      <c r="T2" s="10">
        <v>0.08</v>
      </c>
      <c r="U2" s="10">
        <v>7</v>
      </c>
      <c r="V2" s="10">
        <v>49</v>
      </c>
      <c r="W2" s="7">
        <v>0.31</v>
      </c>
      <c r="X2" s="7"/>
      <c r="Y2" s="11">
        <f>IF(COUNTA(W2:X2)=0,"",AVERAGE(W2:X2))-0.3</f>
        <v>1.0000000000000009E-2</v>
      </c>
      <c r="Z2" s="7"/>
      <c r="AA2" s="11">
        <f t="shared" ref="AA2:AA19" si="2">IF(Z2&lt;&gt;"",Z2,IF(Y2&lt;&gt;"",Y2*7.89,""))</f>
        <v>7.8900000000000067E-2</v>
      </c>
      <c r="AB2" s="6"/>
      <c r="AC2" s="8"/>
      <c r="AD2" s="8"/>
      <c r="AE2" s="8"/>
      <c r="AF2" s="12"/>
    </row>
    <row r="3" spans="1:32" ht="24" customHeight="1" x14ac:dyDescent="0.25">
      <c r="A3" s="4" t="s">
        <v>55</v>
      </c>
      <c r="B3" s="4" t="s">
        <v>103</v>
      </c>
      <c r="C3" s="5" t="s">
        <v>104</v>
      </c>
      <c r="D3" s="4" t="s">
        <v>106</v>
      </c>
      <c r="E3" s="4">
        <v>2</v>
      </c>
      <c r="F3" s="6"/>
      <c r="G3" s="7"/>
      <c r="H3" s="8" t="s">
        <v>59</v>
      </c>
      <c r="I3" s="4" t="b">
        <v>1</v>
      </c>
      <c r="J3" s="9">
        <v>46209.66002314815</v>
      </c>
      <c r="K3" s="9">
        <v>46209.678946759261</v>
      </c>
      <c r="L3" s="4" t="s">
        <v>60</v>
      </c>
      <c r="M3" s="10">
        <v>71.3</v>
      </c>
      <c r="N3" s="11">
        <f t="shared" si="0"/>
        <v>87.38000000000001</v>
      </c>
      <c r="O3" s="10">
        <v>158.68</v>
      </c>
      <c r="P3" s="10">
        <v>125</v>
      </c>
      <c r="Q3" s="10">
        <v>49</v>
      </c>
      <c r="R3" s="11">
        <f t="shared" si="1"/>
        <v>174</v>
      </c>
      <c r="S3" s="10">
        <v>0.35</v>
      </c>
      <c r="T3" s="10">
        <v>0.11</v>
      </c>
      <c r="U3" s="10">
        <v>12</v>
      </c>
      <c r="V3" s="10">
        <v>33</v>
      </c>
      <c r="W3" s="7"/>
      <c r="X3" s="7"/>
      <c r="Y3" s="11"/>
      <c r="Z3" s="7"/>
      <c r="AA3" s="11" t="str">
        <f t="shared" si="2"/>
        <v/>
      </c>
      <c r="AB3" s="6"/>
      <c r="AC3" s="8"/>
      <c r="AD3" s="8"/>
      <c r="AE3" s="8"/>
      <c r="AF3" s="12"/>
    </row>
    <row r="4" spans="1:32" ht="24" customHeight="1" x14ac:dyDescent="0.25">
      <c r="A4" s="4" t="s">
        <v>55</v>
      </c>
      <c r="B4" s="4" t="s">
        <v>103</v>
      </c>
      <c r="C4" s="5" t="s">
        <v>104</v>
      </c>
      <c r="D4" s="4" t="s">
        <v>107</v>
      </c>
      <c r="E4" s="4">
        <v>3</v>
      </c>
      <c r="F4" s="6"/>
      <c r="G4" s="7"/>
      <c r="H4" s="8" t="s">
        <v>59</v>
      </c>
      <c r="I4" s="4" t="b">
        <v>1</v>
      </c>
      <c r="J4" s="9">
        <v>46209.705069444448</v>
      </c>
      <c r="K4" s="9">
        <v>46209.722604166673</v>
      </c>
      <c r="L4" s="4" t="s">
        <v>60</v>
      </c>
      <c r="M4" s="10">
        <v>71.03</v>
      </c>
      <c r="N4" s="11">
        <f t="shared" si="0"/>
        <v>85.62</v>
      </c>
      <c r="O4" s="10">
        <v>156.65</v>
      </c>
      <c r="P4" s="10">
        <v>126</v>
      </c>
      <c r="Q4" s="10">
        <v>50</v>
      </c>
      <c r="R4" s="11">
        <f t="shared" si="1"/>
        <v>176</v>
      </c>
      <c r="S4" s="10">
        <v>0.34</v>
      </c>
      <c r="T4" s="10">
        <v>0.12</v>
      </c>
      <c r="U4" s="10">
        <v>8</v>
      </c>
      <c r="V4" s="10">
        <v>41</v>
      </c>
      <c r="W4" s="7">
        <v>0.32</v>
      </c>
      <c r="X4" s="7"/>
      <c r="Y4" s="11">
        <f t="shared" ref="Y3:Y19" si="3">IF(COUNTA(W4:X4)=0,"",AVERAGE(W4:X4))-0.3</f>
        <v>2.0000000000000018E-2</v>
      </c>
      <c r="Z4" s="7"/>
      <c r="AA4" s="11">
        <f t="shared" si="2"/>
        <v>0.15780000000000013</v>
      </c>
      <c r="AB4" s="6"/>
      <c r="AC4" s="8"/>
      <c r="AD4" s="8"/>
      <c r="AE4" s="8"/>
      <c r="AF4" s="12"/>
    </row>
    <row r="5" spans="1:32" ht="24" customHeight="1" x14ac:dyDescent="0.25">
      <c r="A5" s="4" t="s">
        <v>55</v>
      </c>
      <c r="B5" s="4" t="s">
        <v>103</v>
      </c>
      <c r="C5" s="5" t="s">
        <v>104</v>
      </c>
      <c r="D5" s="4" t="s">
        <v>108</v>
      </c>
      <c r="E5" s="4">
        <v>4</v>
      </c>
      <c r="F5" s="6"/>
      <c r="G5" s="7"/>
      <c r="H5" s="8" t="s">
        <v>59</v>
      </c>
      <c r="I5" s="4" t="b">
        <v>1</v>
      </c>
      <c r="J5" s="9">
        <v>46210.370393518519</v>
      </c>
      <c r="K5" s="9">
        <v>46210.406481481477</v>
      </c>
      <c r="L5" s="4" t="s">
        <v>64</v>
      </c>
      <c r="M5" s="10">
        <v>66.61</v>
      </c>
      <c r="N5" s="11">
        <f t="shared" si="0"/>
        <v>85.11999999999999</v>
      </c>
      <c r="O5" s="10">
        <v>151.72999999999999</v>
      </c>
      <c r="P5" s="10">
        <v>158</v>
      </c>
      <c r="Q5" s="10">
        <v>32</v>
      </c>
      <c r="R5" s="11">
        <f t="shared" si="1"/>
        <v>190</v>
      </c>
      <c r="S5" s="10">
        <v>0.66</v>
      </c>
      <c r="T5" s="10">
        <v>0.24</v>
      </c>
      <c r="U5" s="10">
        <v>26</v>
      </c>
      <c r="V5" s="10">
        <v>53</v>
      </c>
      <c r="W5" s="7">
        <v>0.77</v>
      </c>
      <c r="X5" s="7"/>
      <c r="Y5" s="11">
        <f t="shared" si="3"/>
        <v>0.47000000000000003</v>
      </c>
      <c r="Z5" s="7"/>
      <c r="AA5" s="11">
        <f t="shared" si="2"/>
        <v>3.7082999999999999</v>
      </c>
      <c r="AB5" s="6"/>
      <c r="AC5" s="8"/>
      <c r="AD5" s="8"/>
      <c r="AE5" s="8"/>
      <c r="AF5" s="12"/>
    </row>
    <row r="6" spans="1:32" ht="24" customHeight="1" x14ac:dyDescent="0.25">
      <c r="A6" s="4" t="s">
        <v>55</v>
      </c>
      <c r="B6" s="4" t="s">
        <v>103</v>
      </c>
      <c r="C6" s="5" t="s">
        <v>104</v>
      </c>
      <c r="D6" s="4" t="s">
        <v>109</v>
      </c>
      <c r="E6" s="4">
        <v>5</v>
      </c>
      <c r="F6" s="6"/>
      <c r="G6" s="7"/>
      <c r="H6" s="8" t="s">
        <v>59</v>
      </c>
      <c r="I6" s="4" t="b">
        <v>1</v>
      </c>
      <c r="J6" s="9">
        <v>46210.530127314807</v>
      </c>
      <c r="K6" s="9">
        <v>46210.629074074073</v>
      </c>
      <c r="L6" s="4" t="s">
        <v>64</v>
      </c>
      <c r="M6" s="10">
        <v>61.92</v>
      </c>
      <c r="N6" s="11">
        <f t="shared" si="0"/>
        <v>83.39</v>
      </c>
      <c r="O6" s="10">
        <v>145.31</v>
      </c>
      <c r="P6" s="10">
        <v>103</v>
      </c>
      <c r="Q6" s="10">
        <v>42</v>
      </c>
      <c r="R6" s="11">
        <f t="shared" si="1"/>
        <v>145</v>
      </c>
      <c r="S6" s="10">
        <v>0.99</v>
      </c>
      <c r="T6" s="10">
        <v>0.28000000000000003</v>
      </c>
      <c r="U6" s="10">
        <v>43</v>
      </c>
      <c r="V6" s="10">
        <v>45</v>
      </c>
      <c r="W6" s="7"/>
      <c r="X6" s="7"/>
      <c r="Y6" s="11"/>
      <c r="Z6" s="7"/>
      <c r="AA6" s="11" t="str">
        <f t="shared" si="2"/>
        <v/>
      </c>
      <c r="AB6" s="6"/>
      <c r="AC6" s="8"/>
      <c r="AD6" s="8"/>
      <c r="AE6" s="8"/>
      <c r="AF6" s="12"/>
    </row>
    <row r="7" spans="1:32" ht="24" customHeight="1" x14ac:dyDescent="0.25">
      <c r="A7" s="4" t="s">
        <v>55</v>
      </c>
      <c r="B7" s="4" t="s">
        <v>103</v>
      </c>
      <c r="C7" s="5" t="s">
        <v>104</v>
      </c>
      <c r="D7" s="4" t="s">
        <v>110</v>
      </c>
      <c r="E7" s="4">
        <v>6</v>
      </c>
      <c r="F7" s="6"/>
      <c r="G7" s="7"/>
      <c r="H7" s="8" t="s">
        <v>59</v>
      </c>
      <c r="I7" s="4" t="b">
        <v>1</v>
      </c>
      <c r="J7" s="9">
        <v>46210.635196759264</v>
      </c>
      <c r="K7" s="9">
        <v>46210.654675925929</v>
      </c>
      <c r="L7" s="4" t="s">
        <v>64</v>
      </c>
      <c r="M7" s="10">
        <v>61.55</v>
      </c>
      <c r="N7" s="11">
        <f t="shared" si="0"/>
        <v>78.679999999999993</v>
      </c>
      <c r="O7" s="10">
        <v>140.22999999999999</v>
      </c>
      <c r="P7" s="10">
        <v>99</v>
      </c>
      <c r="Q7" s="10">
        <v>39</v>
      </c>
      <c r="R7" s="11">
        <f t="shared" si="1"/>
        <v>138</v>
      </c>
      <c r="S7" s="10">
        <v>1.1200000000000001</v>
      </c>
      <c r="T7" s="10">
        <v>0.32</v>
      </c>
      <c r="U7" s="10">
        <v>44</v>
      </c>
      <c r="V7" s="10">
        <v>65</v>
      </c>
      <c r="W7" s="7"/>
      <c r="X7" s="7"/>
      <c r="Y7" s="11"/>
      <c r="Z7" s="7"/>
      <c r="AA7" s="11" t="str">
        <f t="shared" si="2"/>
        <v/>
      </c>
      <c r="AB7" s="6"/>
      <c r="AC7" s="8"/>
      <c r="AD7" s="8"/>
      <c r="AE7" s="8"/>
      <c r="AF7" s="12"/>
    </row>
    <row r="8" spans="1:32" ht="24" customHeight="1" x14ac:dyDescent="0.25">
      <c r="A8" s="4" t="s">
        <v>55</v>
      </c>
      <c r="B8" s="4" t="s">
        <v>103</v>
      </c>
      <c r="C8" s="5" t="s">
        <v>104</v>
      </c>
      <c r="D8" s="4" t="s">
        <v>111</v>
      </c>
      <c r="E8" s="4">
        <v>7</v>
      </c>
      <c r="F8" s="6"/>
      <c r="G8" s="7"/>
      <c r="H8" s="8" t="s">
        <v>59</v>
      </c>
      <c r="I8" s="4" t="b">
        <v>0</v>
      </c>
      <c r="J8" s="9"/>
      <c r="K8" s="9"/>
      <c r="L8" s="4"/>
      <c r="M8" s="10"/>
      <c r="N8" s="11" t="str">
        <f t="shared" si="0"/>
        <v/>
      </c>
      <c r="O8" s="10"/>
      <c r="P8" s="10"/>
      <c r="Q8" s="10"/>
      <c r="R8" s="11" t="str">
        <f t="shared" si="1"/>
        <v/>
      </c>
      <c r="S8" s="10"/>
      <c r="T8" s="10"/>
      <c r="U8" s="10"/>
      <c r="V8" s="10"/>
      <c r="W8" s="7">
        <v>1.21</v>
      </c>
      <c r="X8" s="7"/>
      <c r="Y8" s="11">
        <f t="shared" si="3"/>
        <v>0.90999999999999992</v>
      </c>
      <c r="Z8" s="7"/>
      <c r="AA8" s="11">
        <f t="shared" si="2"/>
        <v>7.1798999999999991</v>
      </c>
      <c r="AB8" s="6"/>
      <c r="AC8" s="8"/>
      <c r="AD8" s="8"/>
      <c r="AE8" s="8"/>
      <c r="AF8" s="12"/>
    </row>
    <row r="9" spans="1:32" ht="24" customHeight="1" x14ac:dyDescent="0.25">
      <c r="A9" s="4" t="s">
        <v>55</v>
      </c>
      <c r="B9" s="4" t="s">
        <v>103</v>
      </c>
      <c r="C9" s="5" t="s">
        <v>104</v>
      </c>
      <c r="D9" s="4" t="s">
        <v>112</v>
      </c>
      <c r="E9" s="4">
        <v>8</v>
      </c>
      <c r="F9" s="6"/>
      <c r="G9" s="7"/>
      <c r="H9" s="8" t="s">
        <v>59</v>
      </c>
      <c r="I9" s="4" t="b">
        <v>1</v>
      </c>
      <c r="J9" s="9">
        <v>46211.43173611111</v>
      </c>
      <c r="K9" s="9">
        <v>46211.451493055552</v>
      </c>
      <c r="L9" s="4" t="s">
        <v>69</v>
      </c>
      <c r="M9" s="10">
        <v>45.91</v>
      </c>
      <c r="N9" s="11">
        <f t="shared" si="0"/>
        <v>70.97</v>
      </c>
      <c r="O9" s="10">
        <v>116.88</v>
      </c>
      <c r="P9" s="10">
        <v>0</v>
      </c>
      <c r="Q9" s="10">
        <v>20</v>
      </c>
      <c r="R9" s="11">
        <f t="shared" si="1"/>
        <v>20</v>
      </c>
      <c r="S9" s="10">
        <v>2.15</v>
      </c>
      <c r="T9" s="10">
        <v>0.36</v>
      </c>
      <c r="U9" s="10">
        <v>85</v>
      </c>
      <c r="V9" s="10">
        <v>93</v>
      </c>
      <c r="W9" s="7">
        <v>2.68</v>
      </c>
      <c r="X9" s="7"/>
      <c r="Y9" s="11">
        <f t="shared" si="3"/>
        <v>2.3800000000000003</v>
      </c>
      <c r="Z9" s="7"/>
      <c r="AA9" s="11">
        <f t="shared" si="2"/>
        <v>18.778200000000002</v>
      </c>
      <c r="AB9" s="6"/>
      <c r="AC9" s="8"/>
      <c r="AD9" s="8"/>
      <c r="AE9" s="8"/>
      <c r="AF9" s="12"/>
    </row>
    <row r="10" spans="1:32" ht="24" customHeight="1" x14ac:dyDescent="0.25">
      <c r="A10" s="4" t="s">
        <v>55</v>
      </c>
      <c r="B10" s="4" t="s">
        <v>103</v>
      </c>
      <c r="C10" s="5" t="s">
        <v>104</v>
      </c>
      <c r="D10" s="4" t="s">
        <v>113</v>
      </c>
      <c r="E10" s="4">
        <v>9</v>
      </c>
      <c r="F10" s="6"/>
      <c r="G10" s="7"/>
      <c r="H10" s="8" t="s">
        <v>59</v>
      </c>
      <c r="I10" s="4" t="b">
        <v>1</v>
      </c>
      <c r="J10" s="9">
        <v>46211.622743055559</v>
      </c>
      <c r="K10" s="9">
        <v>46211.644178240742</v>
      </c>
      <c r="L10" s="4" t="s">
        <v>69</v>
      </c>
      <c r="M10" s="10">
        <v>39.65</v>
      </c>
      <c r="N10" s="11">
        <f t="shared" si="0"/>
        <v>64.27000000000001</v>
      </c>
      <c r="O10" s="10">
        <v>103.92</v>
      </c>
      <c r="P10" s="10">
        <v>4</v>
      </c>
      <c r="Q10" s="10">
        <v>23</v>
      </c>
      <c r="R10" s="11">
        <f t="shared" si="1"/>
        <v>27</v>
      </c>
      <c r="S10" s="10">
        <v>2.93</v>
      </c>
      <c r="T10" s="10">
        <v>0.39</v>
      </c>
      <c r="U10" s="10">
        <v>87</v>
      </c>
      <c r="V10" s="10">
        <v>108</v>
      </c>
      <c r="W10" s="7"/>
      <c r="X10" s="7"/>
      <c r="Y10" s="11"/>
      <c r="Z10" s="7"/>
      <c r="AA10" s="11" t="str">
        <f t="shared" si="2"/>
        <v/>
      </c>
      <c r="AB10" s="6"/>
      <c r="AC10" s="8"/>
      <c r="AD10" s="8"/>
      <c r="AE10" s="8"/>
      <c r="AF10" s="12"/>
    </row>
    <row r="11" spans="1:32" ht="24" customHeight="1" x14ac:dyDescent="0.25">
      <c r="A11" s="4" t="s">
        <v>55</v>
      </c>
      <c r="B11" s="4" t="s">
        <v>103</v>
      </c>
      <c r="C11" s="5" t="s">
        <v>104</v>
      </c>
      <c r="D11" s="4" t="s">
        <v>114</v>
      </c>
      <c r="E11" s="4">
        <v>10</v>
      </c>
      <c r="F11" s="6"/>
      <c r="G11" s="7"/>
      <c r="H11" s="8" t="s">
        <v>59</v>
      </c>
      <c r="I11" s="4" t="b">
        <v>1</v>
      </c>
      <c r="J11" s="9">
        <v>46211.694189814807</v>
      </c>
      <c r="K11" s="9">
        <v>46211.713391203702</v>
      </c>
      <c r="L11" s="4" t="s">
        <v>69</v>
      </c>
      <c r="M11" s="10">
        <v>36.61</v>
      </c>
      <c r="N11" s="11">
        <f t="shared" si="0"/>
        <v>62.820000000000007</v>
      </c>
      <c r="O11" s="10">
        <v>99.43</v>
      </c>
      <c r="P11" s="10">
        <v>5</v>
      </c>
      <c r="Q11" s="10">
        <v>23</v>
      </c>
      <c r="R11" s="11">
        <f t="shared" si="1"/>
        <v>28</v>
      </c>
      <c r="S11" s="10"/>
      <c r="T11" s="10">
        <v>0.44</v>
      </c>
      <c r="U11" s="10">
        <v>89</v>
      </c>
      <c r="V11" s="10"/>
      <c r="W11" s="7">
        <v>3.3</v>
      </c>
      <c r="X11" s="7"/>
      <c r="Y11" s="11">
        <f t="shared" si="3"/>
        <v>3</v>
      </c>
      <c r="Z11" s="7"/>
      <c r="AA11" s="11">
        <f t="shared" si="2"/>
        <v>23.669999999999998</v>
      </c>
      <c r="AB11" s="6"/>
      <c r="AC11" s="8"/>
      <c r="AD11" s="8"/>
      <c r="AE11" s="8"/>
      <c r="AF11" s="12"/>
    </row>
    <row r="12" spans="1:32" ht="24" customHeight="1" x14ac:dyDescent="0.25">
      <c r="A12" s="4" t="s">
        <v>55</v>
      </c>
      <c r="B12" s="4" t="s">
        <v>103</v>
      </c>
      <c r="C12" s="5" t="s">
        <v>104</v>
      </c>
      <c r="D12" s="4" t="s">
        <v>115</v>
      </c>
      <c r="E12" s="4">
        <v>11</v>
      </c>
      <c r="F12" s="6"/>
      <c r="G12" s="7"/>
      <c r="H12" s="8" t="s">
        <v>59</v>
      </c>
      <c r="I12" s="4" t="b">
        <v>1</v>
      </c>
      <c r="J12" s="9">
        <v>46212.439826388887</v>
      </c>
      <c r="K12" s="9">
        <v>46212.466249999998</v>
      </c>
      <c r="L12" s="4" t="s">
        <v>73</v>
      </c>
      <c r="M12" s="10">
        <v>15.46</v>
      </c>
      <c r="N12" s="11">
        <f t="shared" si="0"/>
        <v>42</v>
      </c>
      <c r="O12" s="10">
        <v>57.46</v>
      </c>
      <c r="P12" s="10">
        <v>-2</v>
      </c>
      <c r="Q12" s="10">
        <v>25</v>
      </c>
      <c r="R12" s="11">
        <f t="shared" si="1"/>
        <v>23</v>
      </c>
      <c r="S12" s="10">
        <v>5.04</v>
      </c>
      <c r="T12" s="10">
        <v>0.5</v>
      </c>
      <c r="U12" s="10">
        <v>82</v>
      </c>
      <c r="V12" s="10">
        <v>51</v>
      </c>
      <c r="W12" s="7">
        <v>5.79</v>
      </c>
      <c r="X12" s="7"/>
      <c r="Y12" s="11">
        <f t="shared" si="3"/>
        <v>5.49</v>
      </c>
      <c r="Z12" s="7"/>
      <c r="AA12" s="11">
        <f t="shared" si="2"/>
        <v>43.316099999999999</v>
      </c>
      <c r="AB12" s="6"/>
      <c r="AC12" s="8"/>
      <c r="AD12" s="8"/>
      <c r="AE12" s="8"/>
      <c r="AF12" s="12"/>
    </row>
    <row r="13" spans="1:32" ht="24" customHeight="1" x14ac:dyDescent="0.25">
      <c r="A13" s="4" t="s">
        <v>55</v>
      </c>
      <c r="B13" s="4" t="s">
        <v>103</v>
      </c>
      <c r="C13" s="5" t="s">
        <v>104</v>
      </c>
      <c r="D13" s="4" t="s">
        <v>116</v>
      </c>
      <c r="E13" s="4">
        <v>12</v>
      </c>
      <c r="F13" s="6"/>
      <c r="G13" s="7"/>
      <c r="H13" s="8" t="s">
        <v>59</v>
      </c>
      <c r="I13" s="4" t="b">
        <v>1</v>
      </c>
      <c r="J13" s="9">
        <v>46212.534062500003</v>
      </c>
      <c r="K13" s="9">
        <v>46212.549363425933</v>
      </c>
      <c r="L13" s="4" t="s">
        <v>73</v>
      </c>
      <c r="M13" s="10">
        <v>14.82</v>
      </c>
      <c r="N13" s="11">
        <f t="shared" si="0"/>
        <v>40.83</v>
      </c>
      <c r="O13" s="10">
        <v>55.65</v>
      </c>
      <c r="P13" s="10">
        <v>-1</v>
      </c>
      <c r="Q13" s="10">
        <v>20</v>
      </c>
      <c r="R13" s="11">
        <f t="shared" si="1"/>
        <v>19</v>
      </c>
      <c r="S13" s="10">
        <v>5.49</v>
      </c>
      <c r="T13" s="10">
        <v>0.49</v>
      </c>
      <c r="U13" s="10">
        <v>67</v>
      </c>
      <c r="V13" s="10">
        <v>75</v>
      </c>
      <c r="W13" s="7"/>
      <c r="X13" s="7"/>
      <c r="Y13" s="11"/>
      <c r="Z13" s="7"/>
      <c r="AA13" s="11" t="str">
        <f t="shared" si="2"/>
        <v/>
      </c>
      <c r="AB13" s="6"/>
      <c r="AC13" s="8"/>
      <c r="AD13" s="8"/>
      <c r="AE13" s="8"/>
      <c r="AF13" s="12"/>
    </row>
    <row r="14" spans="1:32" ht="24" customHeight="1" x14ac:dyDescent="0.25">
      <c r="A14" s="4" t="s">
        <v>55</v>
      </c>
      <c r="B14" s="4" t="s">
        <v>103</v>
      </c>
      <c r="C14" s="5" t="s">
        <v>104</v>
      </c>
      <c r="D14" s="4" t="s">
        <v>117</v>
      </c>
      <c r="E14" s="4">
        <v>13</v>
      </c>
      <c r="F14" s="6"/>
      <c r="G14" s="7"/>
      <c r="H14" s="8" t="s">
        <v>59</v>
      </c>
      <c r="I14" s="4" t="b">
        <v>1</v>
      </c>
      <c r="J14" s="9">
        <v>46212.714965277781</v>
      </c>
      <c r="K14" s="9">
        <v>46212.752893518518</v>
      </c>
      <c r="L14" s="4" t="s">
        <v>73</v>
      </c>
      <c r="M14" s="10">
        <v>10.1</v>
      </c>
      <c r="N14" s="11">
        <f t="shared" si="0"/>
        <v>33.99</v>
      </c>
      <c r="O14" s="10">
        <v>44.09</v>
      </c>
      <c r="P14" s="10">
        <v>-1</v>
      </c>
      <c r="Q14" s="10">
        <v>16</v>
      </c>
      <c r="R14" s="11">
        <f t="shared" si="1"/>
        <v>15</v>
      </c>
      <c r="S14" s="10">
        <v>5.18</v>
      </c>
      <c r="T14" s="10">
        <v>0.49</v>
      </c>
      <c r="U14" s="10">
        <v>77</v>
      </c>
      <c r="V14" s="10">
        <v>59</v>
      </c>
      <c r="W14" s="7">
        <v>6.64</v>
      </c>
      <c r="X14" s="7"/>
      <c r="Y14" s="11">
        <f t="shared" si="3"/>
        <v>6.34</v>
      </c>
      <c r="Z14" s="7"/>
      <c r="AA14" s="11">
        <f t="shared" si="2"/>
        <v>50.022599999999997</v>
      </c>
      <c r="AB14" s="6"/>
      <c r="AC14" s="8"/>
      <c r="AD14" s="8"/>
      <c r="AE14" s="8"/>
      <c r="AF14" s="12"/>
    </row>
    <row r="15" spans="1:32" ht="24" customHeight="1" x14ac:dyDescent="0.25">
      <c r="A15" s="4" t="s">
        <v>55</v>
      </c>
      <c r="B15" s="4" t="s">
        <v>103</v>
      </c>
      <c r="C15" s="5" t="s">
        <v>104</v>
      </c>
      <c r="D15" s="4" t="s">
        <v>118</v>
      </c>
      <c r="E15" s="4">
        <v>14</v>
      </c>
      <c r="F15" s="6"/>
      <c r="G15" s="7"/>
      <c r="H15" s="8" t="s">
        <v>59</v>
      </c>
      <c r="I15" s="4" t="b">
        <v>0</v>
      </c>
      <c r="J15" s="9"/>
      <c r="K15" s="9"/>
      <c r="L15" s="4"/>
      <c r="M15" s="10"/>
      <c r="N15" s="11" t="str">
        <f t="shared" si="0"/>
        <v/>
      </c>
      <c r="O15" s="10"/>
      <c r="P15" s="10"/>
      <c r="Q15" s="10"/>
      <c r="R15" s="11" t="str">
        <f t="shared" si="1"/>
        <v/>
      </c>
      <c r="S15" s="10"/>
      <c r="T15" s="10"/>
      <c r="U15" s="10"/>
      <c r="V15" s="10"/>
      <c r="W15" s="7">
        <v>8.3000000000000007</v>
      </c>
      <c r="X15" s="7"/>
      <c r="Y15" s="11">
        <f t="shared" si="3"/>
        <v>8</v>
      </c>
      <c r="Z15" s="7"/>
      <c r="AA15" s="11">
        <f t="shared" si="2"/>
        <v>63.12</v>
      </c>
      <c r="AB15" s="6"/>
      <c r="AC15" s="8"/>
      <c r="AD15" s="8"/>
      <c r="AE15" s="8"/>
      <c r="AF15" s="12"/>
    </row>
    <row r="16" spans="1:32" ht="24" customHeight="1" x14ac:dyDescent="0.25">
      <c r="A16" s="4" t="s">
        <v>55</v>
      </c>
      <c r="B16" s="4" t="s">
        <v>103</v>
      </c>
      <c r="C16" s="5" t="s">
        <v>104</v>
      </c>
      <c r="D16" s="4" t="s">
        <v>119</v>
      </c>
      <c r="E16" s="4">
        <v>15</v>
      </c>
      <c r="F16" s="6"/>
      <c r="G16" s="7"/>
      <c r="H16" s="8" t="s">
        <v>59</v>
      </c>
      <c r="I16" s="4" t="b">
        <v>1</v>
      </c>
      <c r="J16" s="9">
        <v>46213.424363425933</v>
      </c>
      <c r="K16" s="9">
        <v>46213.442175925928</v>
      </c>
      <c r="L16" s="4" t="s">
        <v>78</v>
      </c>
      <c r="M16" s="10">
        <v>1.1599999999999999</v>
      </c>
      <c r="N16" s="11">
        <f t="shared" si="0"/>
        <v>17.5</v>
      </c>
      <c r="O16" s="10">
        <v>18.66</v>
      </c>
      <c r="P16" s="10">
        <v>-3</v>
      </c>
      <c r="Q16" s="10">
        <v>15</v>
      </c>
      <c r="R16" s="11">
        <f t="shared" si="1"/>
        <v>12</v>
      </c>
      <c r="S16" s="10">
        <v>5.46</v>
      </c>
      <c r="T16" s="10">
        <v>0.47</v>
      </c>
      <c r="U16" s="10">
        <v>46</v>
      </c>
      <c r="V16" s="10">
        <v>30</v>
      </c>
      <c r="W16" s="7">
        <v>8.44</v>
      </c>
      <c r="X16" s="7"/>
      <c r="Y16" s="11">
        <f t="shared" si="3"/>
        <v>8.1399999999999988</v>
      </c>
      <c r="Z16" s="7"/>
      <c r="AA16" s="11">
        <f t="shared" si="2"/>
        <v>64.224599999999981</v>
      </c>
      <c r="AB16" s="6"/>
      <c r="AC16" s="8"/>
      <c r="AD16" s="8"/>
      <c r="AE16" s="8"/>
      <c r="AF16" s="12"/>
    </row>
    <row r="17" spans="1:32" ht="24" customHeight="1" x14ac:dyDescent="0.25">
      <c r="A17" s="4" t="s">
        <v>55</v>
      </c>
      <c r="B17" s="4" t="s">
        <v>103</v>
      </c>
      <c r="C17" s="5" t="s">
        <v>104</v>
      </c>
      <c r="D17" s="4" t="s">
        <v>120</v>
      </c>
      <c r="E17" s="4">
        <v>16</v>
      </c>
      <c r="F17" s="6"/>
      <c r="G17" s="7"/>
      <c r="H17" s="8" t="s">
        <v>59</v>
      </c>
      <c r="I17" s="4" t="b">
        <v>1</v>
      </c>
      <c r="J17" s="9">
        <v>46213.542488425926</v>
      </c>
      <c r="K17" s="9">
        <v>46213.560289351852</v>
      </c>
      <c r="L17" s="4" t="s">
        <v>78</v>
      </c>
      <c r="M17" s="10">
        <v>0.82</v>
      </c>
      <c r="N17" s="11">
        <f t="shared" si="0"/>
        <v>15.870000000000001</v>
      </c>
      <c r="O17" s="10">
        <v>16.690000000000001</v>
      </c>
      <c r="P17" s="10">
        <v>-1</v>
      </c>
      <c r="Q17" s="10">
        <v>16</v>
      </c>
      <c r="R17" s="11">
        <f t="shared" si="1"/>
        <v>15</v>
      </c>
      <c r="S17" s="10">
        <v>5.37</v>
      </c>
      <c r="T17" s="10">
        <v>0.48</v>
      </c>
      <c r="U17" s="10">
        <v>42</v>
      </c>
      <c r="V17" s="10">
        <v>35</v>
      </c>
      <c r="W17" s="7">
        <v>9.74</v>
      </c>
      <c r="X17" s="7"/>
      <c r="Y17" s="11">
        <f t="shared" si="3"/>
        <v>9.44</v>
      </c>
      <c r="Z17" s="7"/>
      <c r="AA17" s="11">
        <f t="shared" si="2"/>
        <v>74.481599999999986</v>
      </c>
      <c r="AB17" s="6"/>
      <c r="AC17" s="8"/>
      <c r="AD17" s="8"/>
      <c r="AE17" s="8"/>
      <c r="AF17" s="12"/>
    </row>
    <row r="18" spans="1:32" ht="24" customHeight="1" x14ac:dyDescent="0.25">
      <c r="A18" s="4" t="s">
        <v>55</v>
      </c>
      <c r="B18" s="4" t="s">
        <v>103</v>
      </c>
      <c r="C18" s="5" t="s">
        <v>104</v>
      </c>
      <c r="D18" s="4" t="s">
        <v>121</v>
      </c>
      <c r="E18" s="4">
        <v>17</v>
      </c>
      <c r="F18" s="6"/>
      <c r="G18" s="7"/>
      <c r="H18" s="8" t="s">
        <v>59</v>
      </c>
      <c r="I18" s="4" t="b">
        <v>0</v>
      </c>
      <c r="J18" s="9"/>
      <c r="K18" s="9"/>
      <c r="L18" s="4"/>
      <c r="M18" s="10"/>
      <c r="N18" s="11" t="str">
        <f t="shared" si="0"/>
        <v/>
      </c>
      <c r="O18" s="10"/>
      <c r="P18" s="10"/>
      <c r="Q18" s="10"/>
      <c r="R18" s="11" t="str">
        <f t="shared" si="1"/>
        <v/>
      </c>
      <c r="S18" s="10"/>
      <c r="T18" s="10"/>
      <c r="U18" s="10"/>
      <c r="V18" s="10"/>
      <c r="W18" s="7"/>
      <c r="X18" s="7"/>
      <c r="Y18" s="11"/>
      <c r="Z18" s="7"/>
      <c r="AA18" s="11" t="str">
        <f t="shared" si="2"/>
        <v/>
      </c>
      <c r="AB18" s="6"/>
      <c r="AC18" s="8"/>
      <c r="AD18" s="8"/>
      <c r="AE18" s="8"/>
      <c r="AF18" s="12"/>
    </row>
    <row r="19" spans="1:32" ht="24" customHeight="1" x14ac:dyDescent="0.25">
      <c r="A19" s="4" t="s">
        <v>55</v>
      </c>
      <c r="B19" s="4" t="s">
        <v>103</v>
      </c>
      <c r="C19" s="5" t="s">
        <v>104</v>
      </c>
      <c r="D19" s="4" t="s">
        <v>122</v>
      </c>
      <c r="E19" s="4">
        <v>18</v>
      </c>
      <c r="F19" s="6"/>
      <c r="G19" s="7"/>
      <c r="H19" s="8" t="s">
        <v>59</v>
      </c>
      <c r="I19" s="4" t="b">
        <v>0</v>
      </c>
      <c r="J19" s="9"/>
      <c r="K19" s="9"/>
      <c r="L19" s="4"/>
      <c r="M19" s="10"/>
      <c r="N19" s="11" t="str">
        <f t="shared" si="0"/>
        <v/>
      </c>
      <c r="O19" s="10"/>
      <c r="P19" s="10"/>
      <c r="Q19" s="10"/>
      <c r="R19" s="11" t="str">
        <f t="shared" si="1"/>
        <v/>
      </c>
      <c r="S19" s="10"/>
      <c r="T19" s="10"/>
      <c r="U19" s="10"/>
      <c r="V19" s="10"/>
      <c r="W19" s="7"/>
      <c r="X19" s="7"/>
      <c r="Y19" s="11"/>
      <c r="Z19" s="7"/>
      <c r="AA19" s="11" t="str">
        <f t="shared" si="2"/>
        <v/>
      </c>
      <c r="AB19" s="6"/>
      <c r="AC19" s="8"/>
      <c r="AD19" s="8"/>
      <c r="AE19" s="8"/>
      <c r="AF19" s="12"/>
    </row>
  </sheetData>
  <autoFilter ref="A1:AF19" xr:uid="{00000000-0009-0000-0000-000003000000}"/>
  <conditionalFormatting sqref="A2:AF19">
    <cfRule type="expression" dxfId="1" priority="1">
      <formula>$I2=FALSE</formula>
    </cfRule>
  </conditionalFormatting>
  <dataValidations count="1">
    <dataValidation type="list" allowBlank="1" sqref="AE2:AE19" xr:uid="{00000000-0002-0000-0300-000000000000}">
      <formula1>"OK,not_measured,below_LOQ,above_range,suspect,rerun,discard"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55"/>
  <sheetViews>
    <sheetView zoomScale="8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5" customWidth="1"/>
    <col min="2" max="2" width="9" customWidth="1"/>
    <col min="3" max="3" width="42" customWidth="1"/>
    <col min="4" max="4" width="18" customWidth="1"/>
    <col min="5" max="5" width="12" customWidth="1"/>
    <col min="6" max="6" width="22" customWidth="1"/>
    <col min="7" max="7" width="10" customWidth="1"/>
    <col min="8" max="8" width="23" customWidth="1"/>
    <col min="9" max="9" width="16" customWidth="1"/>
    <col min="10" max="11" width="22" customWidth="1"/>
    <col min="12" max="12" width="34" customWidth="1"/>
    <col min="13" max="14" width="13" customWidth="1"/>
    <col min="15" max="15" width="15" customWidth="1"/>
    <col min="16" max="16" width="14" customWidth="1"/>
    <col min="17" max="17" width="12" customWidth="1"/>
    <col min="18" max="18" width="16" customWidth="1"/>
    <col min="19" max="19" width="13" customWidth="1"/>
    <col min="20" max="20" width="14" customWidth="1"/>
    <col min="21" max="21" width="17" customWidth="1"/>
    <col min="22" max="25" width="18" customWidth="1"/>
    <col min="26" max="26" width="16" customWidth="1"/>
    <col min="27" max="27" width="18" customWidth="1"/>
    <col min="28" max="28" width="24" customWidth="1"/>
    <col min="29" max="29" width="18" customWidth="1"/>
    <col min="30" max="31" width="16" customWidth="1"/>
    <col min="32" max="32" width="34" customWidth="1"/>
  </cols>
  <sheetData>
    <row r="1" spans="1:32" ht="42" customHeight="1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  <c r="X1" s="3" t="s">
        <v>46</v>
      </c>
      <c r="Y1" s="3" t="s">
        <v>47</v>
      </c>
      <c r="Z1" s="3" t="s">
        <v>48</v>
      </c>
      <c r="AA1" s="3" t="s">
        <v>49</v>
      </c>
      <c r="AB1" s="3" t="s">
        <v>50</v>
      </c>
      <c r="AC1" s="3" t="s">
        <v>51</v>
      </c>
      <c r="AD1" s="3" t="s">
        <v>52</v>
      </c>
      <c r="AE1" s="3" t="s">
        <v>53</v>
      </c>
      <c r="AF1" s="3" t="s">
        <v>54</v>
      </c>
    </row>
    <row r="2" spans="1:32" ht="24" customHeight="1" x14ac:dyDescent="0.25">
      <c r="A2" s="13" t="str">
        <f>'F1'!A2</f>
        <v>DOE_Lote_2</v>
      </c>
      <c r="B2" s="13" t="str">
        <f>'F1'!B2</f>
        <v>F1</v>
      </c>
      <c r="C2" s="14" t="str">
        <f>'F1'!C2</f>
        <v>synthetic_glucose_rich_fructose_pulse</v>
      </c>
      <c r="D2" s="13" t="str">
        <f>'F1'!D2</f>
        <v>DOE-LAB004-1</v>
      </c>
      <c r="E2" s="13">
        <f>'F1'!E2</f>
        <v>1</v>
      </c>
      <c r="F2" s="15">
        <f>'F1'!F2</f>
        <v>0</v>
      </c>
      <c r="G2" s="16">
        <f>'F1'!G2</f>
        <v>0</v>
      </c>
      <c r="H2" s="13" t="str">
        <f>'F1'!H2</f>
        <v>pending_manual_entry</v>
      </c>
      <c r="I2" s="13" t="b">
        <f>'F1'!I2</f>
        <v>1</v>
      </c>
      <c r="J2" s="15">
        <f>'F1'!J2</f>
        <v>46209.555243055547</v>
      </c>
      <c r="K2" s="15">
        <f>'F1'!K2</f>
        <v>46209.56108796296</v>
      </c>
      <c r="L2" s="13" t="str">
        <f>'F1'!L2</f>
        <v>ONLINE(26-07-06 11-48)_1.txt</v>
      </c>
      <c r="M2" s="16">
        <f>'F1'!M2</f>
        <v>120.36</v>
      </c>
      <c r="N2" s="11">
        <f>'F1'!N2</f>
        <v>50.410000000000011</v>
      </c>
      <c r="O2" s="16">
        <f>'F1'!O2</f>
        <v>170.77</v>
      </c>
      <c r="P2" s="16">
        <f>'F1'!P2</f>
        <v>143</v>
      </c>
      <c r="Q2" s="16">
        <f>'F1'!Q2</f>
        <v>57</v>
      </c>
      <c r="R2" s="11">
        <f>'F1'!R2</f>
        <v>200</v>
      </c>
      <c r="S2" s="16">
        <f>'F1'!S2</f>
        <v>0.31</v>
      </c>
      <c r="T2" s="16">
        <f>'F1'!T2</f>
        <v>0.08</v>
      </c>
      <c r="U2" s="16">
        <f>'F1'!U2</f>
        <v>6</v>
      </c>
      <c r="V2" s="16">
        <f>'F1'!V2</f>
        <v>34</v>
      </c>
      <c r="W2" s="16">
        <f>'F1'!W2</f>
        <v>0.3</v>
      </c>
      <c r="X2" s="16">
        <f>'F1'!X2</f>
        <v>0</v>
      </c>
      <c r="Y2" s="11">
        <f>'F1'!Y2</f>
        <v>0</v>
      </c>
      <c r="Z2" s="16">
        <f>'F1'!Z2</f>
        <v>0</v>
      </c>
      <c r="AA2" s="11">
        <f>'F1'!AA2</f>
        <v>0</v>
      </c>
      <c r="AB2" s="15">
        <f>'F1'!AB2</f>
        <v>0</v>
      </c>
      <c r="AC2" s="13">
        <f>'F1'!AC2</f>
        <v>0</v>
      </c>
      <c r="AD2" s="13">
        <f>'F1'!AD2</f>
        <v>0</v>
      </c>
      <c r="AE2" s="13">
        <f>'F1'!AE2</f>
        <v>0</v>
      </c>
      <c r="AF2" s="14">
        <f>'F1'!AF2</f>
        <v>0</v>
      </c>
    </row>
    <row r="3" spans="1:32" ht="24" customHeight="1" x14ac:dyDescent="0.25">
      <c r="A3" s="13" t="str">
        <f>'F1'!A3</f>
        <v>DOE_Lote_2</v>
      </c>
      <c r="B3" s="13" t="str">
        <f>'F1'!B3</f>
        <v>F1</v>
      </c>
      <c r="C3" s="14" t="str">
        <f>'F1'!C3</f>
        <v>synthetic_glucose_rich_fructose_pulse</v>
      </c>
      <c r="D3" s="13" t="str">
        <f>'F1'!D3</f>
        <v>DOE-LAB004-2</v>
      </c>
      <c r="E3" s="13">
        <f>'F1'!E3</f>
        <v>2</v>
      </c>
      <c r="F3" s="15">
        <f>'F1'!F3</f>
        <v>0</v>
      </c>
      <c r="G3" s="16">
        <f>'F1'!G3</f>
        <v>0</v>
      </c>
      <c r="H3" s="13" t="str">
        <f>'F1'!H3</f>
        <v>pending_manual_entry</v>
      </c>
      <c r="I3" s="13" t="b">
        <f>'F1'!I3</f>
        <v>1</v>
      </c>
      <c r="J3" s="15">
        <f>'F1'!J3</f>
        <v>46209.657800925917</v>
      </c>
      <c r="K3" s="15">
        <f>'F1'!K3</f>
        <v>46209.666979166657</v>
      </c>
      <c r="L3" s="13" t="str">
        <f>'F1'!L3</f>
        <v>ONLINE(26-07-06 11-48)_1.txt</v>
      </c>
      <c r="M3" s="16">
        <f>'F1'!M3</f>
        <v>117.48</v>
      </c>
      <c r="N3" s="11">
        <f>'F1'!N3</f>
        <v>47.36</v>
      </c>
      <c r="O3" s="16">
        <f>'F1'!O3</f>
        <v>164.84</v>
      </c>
      <c r="P3" s="16">
        <f>'F1'!P3</f>
        <v>134</v>
      </c>
      <c r="Q3" s="16">
        <f>'F1'!Q3</f>
        <v>53</v>
      </c>
      <c r="R3" s="11">
        <f>'F1'!R3</f>
        <v>187</v>
      </c>
      <c r="S3" s="16">
        <f>'F1'!S3</f>
        <v>0.31</v>
      </c>
      <c r="T3" s="16">
        <f>'F1'!T3</f>
        <v>0.11</v>
      </c>
      <c r="U3" s="16">
        <f>'F1'!U3</f>
        <v>-1</v>
      </c>
      <c r="V3" s="16">
        <f>'F1'!V3</f>
        <v>33</v>
      </c>
      <c r="W3" s="16">
        <f>'F1'!W3</f>
        <v>0</v>
      </c>
      <c r="X3" s="16">
        <f>'F1'!X3</f>
        <v>0</v>
      </c>
      <c r="Y3" s="11">
        <f>'F1'!Y3</f>
        <v>0</v>
      </c>
      <c r="Z3" s="16">
        <f>'F1'!Z3</f>
        <v>0</v>
      </c>
      <c r="AA3" s="11" t="str">
        <f>'F1'!AA3</f>
        <v/>
      </c>
      <c r="AB3" s="15">
        <f>'F1'!AB3</f>
        <v>0</v>
      </c>
      <c r="AC3" s="13">
        <f>'F1'!AC3</f>
        <v>0</v>
      </c>
      <c r="AD3" s="13">
        <f>'F1'!AD3</f>
        <v>0</v>
      </c>
      <c r="AE3" s="13">
        <f>'F1'!AE3</f>
        <v>0</v>
      </c>
      <c r="AF3" s="14">
        <f>'F1'!AF3</f>
        <v>0</v>
      </c>
    </row>
    <row r="4" spans="1:32" ht="24" customHeight="1" x14ac:dyDescent="0.25">
      <c r="A4" s="13" t="str">
        <f>'F1'!A4</f>
        <v>DOE_Lote_2</v>
      </c>
      <c r="B4" s="13" t="str">
        <f>'F1'!B4</f>
        <v>F1</v>
      </c>
      <c r="C4" s="14" t="str">
        <f>'F1'!C4</f>
        <v>synthetic_glucose_rich_fructose_pulse</v>
      </c>
      <c r="D4" s="13" t="str">
        <f>'F1'!D4</f>
        <v>DOE-LAB004-3</v>
      </c>
      <c r="E4" s="13">
        <f>'F1'!E4</f>
        <v>3</v>
      </c>
      <c r="F4" s="15">
        <f>'F1'!F4</f>
        <v>0</v>
      </c>
      <c r="G4" s="16">
        <f>'F1'!G4</f>
        <v>0</v>
      </c>
      <c r="H4" s="13" t="str">
        <f>'F1'!H4</f>
        <v>pending_manual_entry</v>
      </c>
      <c r="I4" s="13" t="b">
        <f>'F1'!I4</f>
        <v>1</v>
      </c>
      <c r="J4" s="15">
        <f>'F1'!J4</f>
        <v>46209.702847222223</v>
      </c>
      <c r="K4" s="15">
        <f>'F1'!K4</f>
        <v>46209.712037037039</v>
      </c>
      <c r="L4" s="13" t="str">
        <f>'F1'!L4</f>
        <v>ONLINE(26-07-06 11-48)_1.txt</v>
      </c>
      <c r="M4" s="16">
        <f>'F1'!M4</f>
        <v>116.81</v>
      </c>
      <c r="N4" s="11">
        <f>'F1'!N4</f>
        <v>47.47</v>
      </c>
      <c r="O4" s="16">
        <f>'F1'!O4</f>
        <v>164.28</v>
      </c>
      <c r="P4" s="16">
        <f>'F1'!P4</f>
        <v>135</v>
      </c>
      <c r="Q4" s="16">
        <f>'F1'!Q4</f>
        <v>52</v>
      </c>
      <c r="R4" s="11">
        <f>'F1'!R4</f>
        <v>187</v>
      </c>
      <c r="S4" s="16">
        <f>'F1'!S4</f>
        <v>0.39</v>
      </c>
      <c r="T4" s="16">
        <f>'F1'!T4</f>
        <v>0.15</v>
      </c>
      <c r="U4" s="16">
        <f>'F1'!U4</f>
        <v>7</v>
      </c>
      <c r="V4" s="16">
        <f>'F1'!V4</f>
        <v>33</v>
      </c>
      <c r="W4" s="16">
        <f>'F1'!W4</f>
        <v>0.32</v>
      </c>
      <c r="X4" s="16">
        <f>'F1'!X4</f>
        <v>0</v>
      </c>
      <c r="Y4" s="11">
        <f>'F1'!Y4</f>
        <v>2.0000000000000018E-2</v>
      </c>
      <c r="Z4" s="16">
        <f>'F1'!Z4</f>
        <v>0</v>
      </c>
      <c r="AA4" s="11">
        <f>'F1'!AA4</f>
        <v>0.15780000000000013</v>
      </c>
      <c r="AB4" s="15">
        <f>'F1'!AB4</f>
        <v>0</v>
      </c>
      <c r="AC4" s="13">
        <f>'F1'!AC4</f>
        <v>0</v>
      </c>
      <c r="AD4" s="13">
        <f>'F1'!AD4</f>
        <v>0</v>
      </c>
      <c r="AE4" s="13">
        <f>'F1'!AE4</f>
        <v>0</v>
      </c>
      <c r="AF4" s="14">
        <f>'F1'!AF4</f>
        <v>0</v>
      </c>
    </row>
    <row r="5" spans="1:32" ht="24" customHeight="1" x14ac:dyDescent="0.25">
      <c r="A5" s="13" t="str">
        <f>'F1'!A5</f>
        <v>DOE_Lote_2</v>
      </c>
      <c r="B5" s="13" t="str">
        <f>'F1'!B5</f>
        <v>F1</v>
      </c>
      <c r="C5" s="14" t="str">
        <f>'F1'!C5</f>
        <v>synthetic_glucose_rich_fructose_pulse</v>
      </c>
      <c r="D5" s="13" t="str">
        <f>'F1'!D5</f>
        <v>DOE-LAB004-4</v>
      </c>
      <c r="E5" s="13">
        <f>'F1'!E5</f>
        <v>4</v>
      </c>
      <c r="F5" s="15">
        <f>'F1'!F5</f>
        <v>0</v>
      </c>
      <c r="G5" s="16">
        <f>'F1'!G5</f>
        <v>0</v>
      </c>
      <c r="H5" s="13" t="str">
        <f>'F1'!H5</f>
        <v>pending_manual_entry</v>
      </c>
      <c r="I5" s="13" t="b">
        <f>'F1'!I5</f>
        <v>1</v>
      </c>
      <c r="J5" s="15">
        <f>'F1'!J5</f>
        <v>46210.368159722217</v>
      </c>
      <c r="K5" s="15">
        <f>'F1'!K5</f>
        <v>46210.377071759263</v>
      </c>
      <c r="L5" s="13" t="str">
        <f>'F1'!L5</f>
        <v>ONLINE(26-07-07 08-26)_1.txt</v>
      </c>
      <c r="M5" s="16">
        <f>'F1'!M5</f>
        <v>110.38</v>
      </c>
      <c r="N5" s="11">
        <f>'F1'!N5</f>
        <v>42.56</v>
      </c>
      <c r="O5" s="16">
        <f>'F1'!O5</f>
        <v>152.94</v>
      </c>
      <c r="P5" s="16">
        <f>'F1'!P5</f>
        <v>98</v>
      </c>
      <c r="Q5" s="16">
        <f>'F1'!Q5</f>
        <v>35</v>
      </c>
      <c r="R5" s="11">
        <f>'F1'!R5</f>
        <v>133</v>
      </c>
      <c r="S5" s="16">
        <f>'F1'!S5</f>
        <v>1.1299999999999999</v>
      </c>
      <c r="T5" s="16">
        <f>'F1'!T5</f>
        <v>0.21</v>
      </c>
      <c r="U5" s="16">
        <f>'F1'!U5</f>
        <v>20</v>
      </c>
      <c r="V5" s="16">
        <f>'F1'!V5</f>
        <v>46</v>
      </c>
      <c r="W5" s="16">
        <f>'F1'!W5</f>
        <v>0.7</v>
      </c>
      <c r="X5" s="16">
        <f>'F1'!X5</f>
        <v>0</v>
      </c>
      <c r="Y5" s="11">
        <f>'F1'!Y5</f>
        <v>0.39999999999999997</v>
      </c>
      <c r="Z5" s="16">
        <f>'F1'!Z5</f>
        <v>0</v>
      </c>
      <c r="AA5" s="11">
        <f>'F1'!AA5</f>
        <v>3.1559999999999997</v>
      </c>
      <c r="AB5" s="15">
        <f>'F1'!AB5</f>
        <v>0</v>
      </c>
      <c r="AC5" s="13">
        <f>'F1'!AC5</f>
        <v>0</v>
      </c>
      <c r="AD5" s="13">
        <f>'F1'!AD5</f>
        <v>0</v>
      </c>
      <c r="AE5" s="13">
        <f>'F1'!AE5</f>
        <v>0</v>
      </c>
      <c r="AF5" s="14">
        <f>'F1'!AF5</f>
        <v>0</v>
      </c>
    </row>
    <row r="6" spans="1:32" ht="24" customHeight="1" x14ac:dyDescent="0.25">
      <c r="A6" s="13" t="str">
        <f>'F1'!A6</f>
        <v>DOE_Lote_2</v>
      </c>
      <c r="B6" s="13" t="str">
        <f>'F1'!B6</f>
        <v>F1</v>
      </c>
      <c r="C6" s="14" t="str">
        <f>'F1'!C6</f>
        <v>synthetic_glucose_rich_fructose_pulse</v>
      </c>
      <c r="D6" s="13" t="str">
        <f>'F1'!D6</f>
        <v>DOE-LAB004-5</v>
      </c>
      <c r="E6" s="13">
        <f>'F1'!E6</f>
        <v>5</v>
      </c>
      <c r="F6" s="15">
        <f>'F1'!F6</f>
        <v>0</v>
      </c>
      <c r="G6" s="16">
        <f>'F1'!G6</f>
        <v>0</v>
      </c>
      <c r="H6" s="13" t="str">
        <f>'F1'!H6</f>
        <v>pending_manual_entry</v>
      </c>
      <c r="I6" s="13" t="b">
        <f>'F1'!I6</f>
        <v>1</v>
      </c>
      <c r="J6" s="15">
        <f>'F1'!J6</f>
        <v>46210.527905092589</v>
      </c>
      <c r="K6" s="15">
        <f>'F1'!K6</f>
        <v>46210.552372685182</v>
      </c>
      <c r="L6" s="13" t="str">
        <f>'F1'!L6</f>
        <v>ONLINE(26-07-07 08-26)_1.txt</v>
      </c>
      <c r="M6" s="16">
        <f>'F1'!M6</f>
        <v>106.38</v>
      </c>
      <c r="N6" s="11">
        <f>'F1'!N6</f>
        <v>44.170000000000016</v>
      </c>
      <c r="O6" s="16">
        <f>'F1'!O6</f>
        <v>150.55000000000001</v>
      </c>
      <c r="P6" s="16">
        <f>'F1'!P6</f>
        <v>117</v>
      </c>
      <c r="Q6" s="16">
        <f>'F1'!Q6</f>
        <v>37</v>
      </c>
      <c r="R6" s="11">
        <f>'F1'!R6</f>
        <v>154</v>
      </c>
      <c r="S6" s="16">
        <f>'F1'!S6</f>
        <v>0.91</v>
      </c>
      <c r="T6" s="16">
        <f>'F1'!T6</f>
        <v>0.24</v>
      </c>
      <c r="U6" s="16">
        <f>'F1'!U6</f>
        <v>31</v>
      </c>
      <c r="V6" s="16">
        <f>'F1'!V6</f>
        <v>67</v>
      </c>
      <c r="W6" s="16">
        <f>'F1'!W6</f>
        <v>0</v>
      </c>
      <c r="X6" s="16">
        <f>'F1'!X6</f>
        <v>0</v>
      </c>
      <c r="Y6" s="11">
        <f>'F1'!Y6</f>
        <v>0</v>
      </c>
      <c r="Z6" s="16">
        <f>'F1'!Z6</f>
        <v>0</v>
      </c>
      <c r="AA6" s="11" t="str">
        <f>'F1'!AA6</f>
        <v/>
      </c>
      <c r="AB6" s="15">
        <f>'F1'!AB6</f>
        <v>0</v>
      </c>
      <c r="AC6" s="13">
        <f>'F1'!AC6</f>
        <v>0</v>
      </c>
      <c r="AD6" s="13">
        <f>'F1'!AD6</f>
        <v>0</v>
      </c>
      <c r="AE6" s="13">
        <f>'F1'!AE6</f>
        <v>0</v>
      </c>
      <c r="AF6" s="14">
        <f>'F1'!AF6</f>
        <v>0</v>
      </c>
    </row>
    <row r="7" spans="1:32" ht="24" customHeight="1" x14ac:dyDescent="0.25">
      <c r="A7" s="13" t="str">
        <f>'F1'!A7</f>
        <v>DOE_Lote_2</v>
      </c>
      <c r="B7" s="13" t="str">
        <f>'F1'!B7</f>
        <v>F1</v>
      </c>
      <c r="C7" s="14" t="str">
        <f>'F1'!C7</f>
        <v>synthetic_glucose_rich_fructose_pulse</v>
      </c>
      <c r="D7" s="13" t="str">
        <f>'F1'!D7</f>
        <v>DOE-LAB004-6</v>
      </c>
      <c r="E7" s="13">
        <f>'F1'!E7</f>
        <v>6</v>
      </c>
      <c r="F7" s="15">
        <f>'F1'!F7</f>
        <v>0</v>
      </c>
      <c r="G7" s="16">
        <f>'F1'!G7</f>
        <v>0</v>
      </c>
      <c r="H7" s="13" t="str">
        <f>'F1'!H7</f>
        <v>pending_manual_entry</v>
      </c>
      <c r="I7" s="13" t="b">
        <f>'F1'!I7</f>
        <v>1</v>
      </c>
      <c r="J7" s="15">
        <f>'F1'!J7</f>
        <v>46210.632974537039</v>
      </c>
      <c r="K7" s="15">
        <f>'F1'!K7</f>
        <v>46210.644108796303</v>
      </c>
      <c r="L7" s="13" t="str">
        <f>'F1'!L7</f>
        <v>ONLINE(26-07-07 08-26)_1.txt</v>
      </c>
      <c r="M7" s="16">
        <f>'F1'!M7</f>
        <v>101.75</v>
      </c>
      <c r="N7" s="11">
        <f>'F1'!N7</f>
        <v>43.78</v>
      </c>
      <c r="O7" s="16">
        <f>'F1'!O7</f>
        <v>145.53</v>
      </c>
      <c r="P7" s="16">
        <f>'F1'!P7</f>
        <v>110</v>
      </c>
      <c r="Q7" s="16">
        <f>'F1'!Q7</f>
        <v>36</v>
      </c>
      <c r="R7" s="11">
        <f>'F1'!R7</f>
        <v>146</v>
      </c>
      <c r="S7" s="16">
        <f>'F1'!S7</f>
        <v>1.08</v>
      </c>
      <c r="T7" s="16">
        <f>'F1'!T7</f>
        <v>0.32</v>
      </c>
      <c r="U7" s="16">
        <f>'F1'!U7</f>
        <v>44</v>
      </c>
      <c r="V7" s="16">
        <f>'F1'!V7</f>
        <v>66</v>
      </c>
      <c r="W7" s="16">
        <f>'F1'!W7</f>
        <v>0</v>
      </c>
      <c r="X7" s="16">
        <f>'F1'!X7</f>
        <v>0</v>
      </c>
      <c r="Y7" s="11">
        <f>'F1'!Y7</f>
        <v>0</v>
      </c>
      <c r="Z7" s="16">
        <f>'F1'!Z7</f>
        <v>0</v>
      </c>
      <c r="AA7" s="11" t="str">
        <f>'F1'!AA7</f>
        <v/>
      </c>
      <c r="AB7" s="15">
        <f>'F1'!AB7</f>
        <v>0</v>
      </c>
      <c r="AC7" s="13">
        <f>'F1'!AC7</f>
        <v>0</v>
      </c>
      <c r="AD7" s="13">
        <f>'F1'!AD7</f>
        <v>0</v>
      </c>
      <c r="AE7" s="13">
        <f>'F1'!AE7</f>
        <v>0</v>
      </c>
      <c r="AF7" s="14">
        <f>'F1'!AF7</f>
        <v>0</v>
      </c>
    </row>
    <row r="8" spans="1:32" ht="24" customHeight="1" x14ac:dyDescent="0.25">
      <c r="A8" s="13" t="str">
        <f>'F1'!A8</f>
        <v>DOE_Lote_2</v>
      </c>
      <c r="B8" s="13" t="str">
        <f>'F1'!B8</f>
        <v>F1</v>
      </c>
      <c r="C8" s="14" t="str">
        <f>'F1'!C8</f>
        <v>synthetic_glucose_rich_fructose_pulse</v>
      </c>
      <c r="D8" s="13" t="str">
        <f>'F1'!D8</f>
        <v>DOE-LAB004-7</v>
      </c>
      <c r="E8" s="13">
        <f>'F1'!E8</f>
        <v>7</v>
      </c>
      <c r="F8" s="15">
        <f>'F1'!F8</f>
        <v>0</v>
      </c>
      <c r="G8" s="16">
        <f>'F1'!G8</f>
        <v>0</v>
      </c>
      <c r="H8" s="13" t="str">
        <f>'F1'!H8</f>
        <v>pending_manual_entry</v>
      </c>
      <c r="I8" s="13" t="b">
        <f>'F1'!I8</f>
        <v>0</v>
      </c>
      <c r="J8" s="15">
        <f>'F1'!J8</f>
        <v>0</v>
      </c>
      <c r="K8" s="15">
        <f>'F1'!K8</f>
        <v>0</v>
      </c>
      <c r="L8" s="13">
        <f>'F1'!L8</f>
        <v>0</v>
      </c>
      <c r="M8" s="16">
        <f>'F1'!M8</f>
        <v>0</v>
      </c>
      <c r="N8" s="11" t="str">
        <f>'F1'!N8</f>
        <v/>
      </c>
      <c r="O8" s="16">
        <f>'F1'!O8</f>
        <v>0</v>
      </c>
      <c r="P8" s="16">
        <f>'F1'!P8</f>
        <v>0</v>
      </c>
      <c r="Q8" s="16">
        <f>'F1'!Q8</f>
        <v>0</v>
      </c>
      <c r="R8" s="11" t="str">
        <f>'F1'!R8</f>
        <v/>
      </c>
      <c r="S8" s="16">
        <f>'F1'!S8</f>
        <v>0</v>
      </c>
      <c r="T8" s="16">
        <f>'F1'!T8</f>
        <v>0</v>
      </c>
      <c r="U8" s="16">
        <f>'F1'!U8</f>
        <v>0</v>
      </c>
      <c r="V8" s="16">
        <f>'F1'!V8</f>
        <v>0</v>
      </c>
      <c r="W8" s="16">
        <f>'F1'!W8</f>
        <v>1.08</v>
      </c>
      <c r="X8" s="16">
        <f>'F1'!X8</f>
        <v>0</v>
      </c>
      <c r="Y8" s="11">
        <f>'F1'!Y8</f>
        <v>0.78</v>
      </c>
      <c r="Z8" s="16">
        <f>'F1'!Z8</f>
        <v>0</v>
      </c>
      <c r="AA8" s="11">
        <f>'F1'!AA8</f>
        <v>6.1542000000000003</v>
      </c>
      <c r="AB8" s="15">
        <f>'F1'!AB8</f>
        <v>0</v>
      </c>
      <c r="AC8" s="13">
        <f>'F1'!AC8</f>
        <v>0</v>
      </c>
      <c r="AD8" s="13">
        <f>'F1'!AD8</f>
        <v>0</v>
      </c>
      <c r="AE8" s="13">
        <f>'F1'!AE8</f>
        <v>0</v>
      </c>
      <c r="AF8" s="14">
        <f>'F1'!AF8</f>
        <v>0</v>
      </c>
    </row>
    <row r="9" spans="1:32" ht="24" customHeight="1" x14ac:dyDescent="0.25">
      <c r="A9" s="13" t="str">
        <f>'F1'!A9</f>
        <v>DOE_Lote_2</v>
      </c>
      <c r="B9" s="13" t="str">
        <f>'F1'!B9</f>
        <v>F1</v>
      </c>
      <c r="C9" s="14" t="str">
        <f>'F1'!C9</f>
        <v>synthetic_glucose_rich_fructose_pulse</v>
      </c>
      <c r="D9" s="13" t="str">
        <f>'F1'!D9</f>
        <v>DOE-LAB004-8</v>
      </c>
      <c r="E9" s="13">
        <f>'F1'!E9</f>
        <v>8</v>
      </c>
      <c r="F9" s="15">
        <f>'F1'!F9</f>
        <v>0</v>
      </c>
      <c r="G9" s="16">
        <f>'F1'!G9</f>
        <v>0</v>
      </c>
      <c r="H9" s="13" t="str">
        <f>'F1'!H9</f>
        <v>pending_manual_entry</v>
      </c>
      <c r="I9" s="13" t="b">
        <f>'F1'!I9</f>
        <v>1</v>
      </c>
      <c r="J9" s="15">
        <f>'F1'!J9</f>
        <v>46211.429513888892</v>
      </c>
      <c r="K9" s="15">
        <f>'F1'!K9</f>
        <v>46211.437037037038</v>
      </c>
      <c r="L9" s="13" t="str">
        <f>'F1'!L9</f>
        <v>ONLINE(26-07-08 09-58)_1.txt</v>
      </c>
      <c r="M9" s="16">
        <f>'F1'!M9</f>
        <v>83.87</v>
      </c>
      <c r="N9" s="11">
        <f>'F1'!N9</f>
        <v>37.429999999999993</v>
      </c>
      <c r="O9" s="16">
        <f>'F1'!O9</f>
        <v>121.3</v>
      </c>
      <c r="P9" s="16">
        <f>'F1'!P9</f>
        <v>4</v>
      </c>
      <c r="Q9" s="16">
        <f>'F1'!Q9</f>
        <v>26</v>
      </c>
      <c r="R9" s="11">
        <f>'F1'!R9</f>
        <v>30</v>
      </c>
      <c r="S9" s="16">
        <f>'F1'!S9</f>
        <v>2.99</v>
      </c>
      <c r="T9" s="16">
        <f>'F1'!T9</f>
        <v>0.34</v>
      </c>
      <c r="U9" s="16">
        <f>'F1'!U9</f>
        <v>92</v>
      </c>
      <c r="V9" s="16">
        <f>'F1'!V9</f>
        <v>168</v>
      </c>
      <c r="W9" s="16">
        <f>'F1'!W9</f>
        <v>2.54</v>
      </c>
      <c r="X9" s="16">
        <f>'F1'!X9</f>
        <v>0</v>
      </c>
      <c r="Y9" s="11">
        <f>'F1'!Y9</f>
        <v>2.2400000000000002</v>
      </c>
      <c r="Z9" s="16">
        <f>'F1'!Z9</f>
        <v>0</v>
      </c>
      <c r="AA9" s="11">
        <f>'F1'!AA9</f>
        <v>17.6736</v>
      </c>
      <c r="AB9" s="15">
        <f>'F1'!AB9</f>
        <v>0</v>
      </c>
      <c r="AC9" s="13">
        <f>'F1'!AC9</f>
        <v>0</v>
      </c>
      <c r="AD9" s="13">
        <f>'F1'!AD9</f>
        <v>0</v>
      </c>
      <c r="AE9" s="13">
        <f>'F1'!AE9</f>
        <v>0</v>
      </c>
      <c r="AF9" s="14">
        <f>'F1'!AF9</f>
        <v>0</v>
      </c>
    </row>
    <row r="10" spans="1:32" ht="24" customHeight="1" x14ac:dyDescent="0.25">
      <c r="A10" s="13" t="str">
        <f>'F1'!A10</f>
        <v>DOE_Lote_2</v>
      </c>
      <c r="B10" s="13" t="str">
        <f>'F1'!B10</f>
        <v>F1</v>
      </c>
      <c r="C10" s="14" t="str">
        <f>'F1'!C10</f>
        <v>synthetic_glucose_rich_fructose_pulse</v>
      </c>
      <c r="D10" s="13" t="str">
        <f>'F1'!D10</f>
        <v>DOE-LAB004-9</v>
      </c>
      <c r="E10" s="13">
        <f>'F1'!E10</f>
        <v>9</v>
      </c>
      <c r="F10" s="15">
        <f>'F1'!F10</f>
        <v>0</v>
      </c>
      <c r="G10" s="16">
        <f>'F1'!G10</f>
        <v>0</v>
      </c>
      <c r="H10" s="13" t="str">
        <f>'F1'!H10</f>
        <v>pending_manual_entry</v>
      </c>
      <c r="I10" s="13" t="b">
        <f>'F1'!I10</f>
        <v>1</v>
      </c>
      <c r="J10" s="15">
        <f>'F1'!J10</f>
        <v>46211.620520833327</v>
      </c>
      <c r="K10" s="15">
        <f>'F1'!K10</f>
        <v>46211.633599537039</v>
      </c>
      <c r="L10" s="13" t="str">
        <f>'F1'!L10</f>
        <v>ONLINE(26-07-08 09-58)_1.txt</v>
      </c>
      <c r="M10" s="16">
        <f>'F1'!M10</f>
        <v>74.31</v>
      </c>
      <c r="N10" s="11">
        <f>'F1'!N10</f>
        <v>38.509999999999991</v>
      </c>
      <c r="O10" s="16">
        <f>'F1'!O10</f>
        <v>112.82</v>
      </c>
      <c r="P10" s="16">
        <f>'F1'!P10</f>
        <v>3</v>
      </c>
      <c r="Q10" s="16">
        <f>'F1'!Q10</f>
        <v>21</v>
      </c>
      <c r="R10" s="11">
        <f>'F1'!R10</f>
        <v>24</v>
      </c>
      <c r="S10" s="16">
        <f>'F1'!S10</f>
        <v>2.98</v>
      </c>
      <c r="T10" s="16">
        <f>'F1'!T10</f>
        <v>0.4</v>
      </c>
      <c r="U10" s="16">
        <f>'F1'!U10</f>
        <v>94</v>
      </c>
      <c r="V10" s="16">
        <f>'F1'!V10</f>
        <v>160</v>
      </c>
      <c r="W10" s="16">
        <f>'F1'!W10</f>
        <v>0</v>
      </c>
      <c r="X10" s="16">
        <f>'F1'!X10</f>
        <v>0</v>
      </c>
      <c r="Y10" s="11">
        <f>'F1'!Y10</f>
        <v>0</v>
      </c>
      <c r="Z10" s="16">
        <f>'F1'!Z10</f>
        <v>0</v>
      </c>
      <c r="AA10" s="11" t="str">
        <f>'F1'!AA10</f>
        <v/>
      </c>
      <c r="AB10" s="15">
        <f>'F1'!AB10</f>
        <v>0</v>
      </c>
      <c r="AC10" s="13">
        <f>'F1'!AC10</f>
        <v>0</v>
      </c>
      <c r="AD10" s="13">
        <f>'F1'!AD10</f>
        <v>0</v>
      </c>
      <c r="AE10" s="13">
        <f>'F1'!AE10</f>
        <v>0</v>
      </c>
      <c r="AF10" s="14">
        <f>'F1'!AF10</f>
        <v>0</v>
      </c>
    </row>
    <row r="11" spans="1:32" ht="24" customHeight="1" x14ac:dyDescent="0.25">
      <c r="A11" s="13" t="str">
        <f>'F1'!A11</f>
        <v>DOE_Lote_2</v>
      </c>
      <c r="B11" s="13" t="str">
        <f>'F1'!B11</f>
        <v>F1</v>
      </c>
      <c r="C11" s="14" t="str">
        <f>'F1'!C11</f>
        <v>synthetic_glucose_rich_fructose_pulse</v>
      </c>
      <c r="D11" s="13" t="str">
        <f>'F1'!D11</f>
        <v>DOE-LAB004-10</v>
      </c>
      <c r="E11" s="13">
        <f>'F1'!E11</f>
        <v>10</v>
      </c>
      <c r="F11" s="15">
        <f>'F1'!F11</f>
        <v>0</v>
      </c>
      <c r="G11" s="16">
        <f>'F1'!G11</f>
        <v>0</v>
      </c>
      <c r="H11" s="13" t="str">
        <f>'F1'!H11</f>
        <v>pending_manual_entry</v>
      </c>
      <c r="I11" s="13" t="b">
        <f>'F1'!I11</f>
        <v>1</v>
      </c>
      <c r="J11" s="15">
        <f>'F1'!J11</f>
        <v>46211.691967592589</v>
      </c>
      <c r="K11" s="15">
        <f>'F1'!K11</f>
        <v>46211.70449074074</v>
      </c>
      <c r="L11" s="13" t="str">
        <f>'F1'!L11</f>
        <v>ONLINE(26-07-08 09-58)_1.txt</v>
      </c>
      <c r="M11" s="16">
        <f>'F1'!M11</f>
        <v>73.66</v>
      </c>
      <c r="N11" s="11">
        <f>'F1'!N11</f>
        <v>37.730000000000004</v>
      </c>
      <c r="O11" s="16">
        <f>'F1'!O11</f>
        <v>111.39</v>
      </c>
      <c r="P11" s="16">
        <f>'F1'!P11</f>
        <v>6</v>
      </c>
      <c r="Q11" s="16">
        <f>'F1'!Q11</f>
        <v>21</v>
      </c>
      <c r="R11" s="11">
        <f>'F1'!R11</f>
        <v>27</v>
      </c>
      <c r="S11" s="16">
        <f>'F1'!S11</f>
        <v>2.5099999999999998</v>
      </c>
      <c r="T11" s="16">
        <f>'F1'!T11</f>
        <v>0.4</v>
      </c>
      <c r="U11" s="16">
        <f>'F1'!U11</f>
        <v>90</v>
      </c>
      <c r="V11" s="16">
        <f>'F1'!V11</f>
        <v>171</v>
      </c>
      <c r="W11" s="16">
        <f>'F1'!W11</f>
        <v>2.68</v>
      </c>
      <c r="X11" s="16">
        <f>'F1'!X11</f>
        <v>0</v>
      </c>
      <c r="Y11" s="11">
        <f>'F1'!Y11</f>
        <v>2.3800000000000003</v>
      </c>
      <c r="Z11" s="16">
        <f>'F1'!Z11</f>
        <v>0</v>
      </c>
      <c r="AA11" s="11">
        <f>'F1'!AA11</f>
        <v>18.778200000000002</v>
      </c>
      <c r="AB11" s="15">
        <f>'F1'!AB11</f>
        <v>0</v>
      </c>
      <c r="AC11" s="13">
        <f>'F1'!AC11</f>
        <v>0</v>
      </c>
      <c r="AD11" s="13">
        <f>'F1'!AD11</f>
        <v>0</v>
      </c>
      <c r="AE11" s="13">
        <f>'F1'!AE11</f>
        <v>0</v>
      </c>
      <c r="AF11" s="14">
        <f>'F1'!AF11</f>
        <v>0</v>
      </c>
    </row>
    <row r="12" spans="1:32" ht="24" customHeight="1" x14ac:dyDescent="0.25">
      <c r="A12" s="13" t="str">
        <f>'F1'!A12</f>
        <v>DOE_Lote_2</v>
      </c>
      <c r="B12" s="13" t="str">
        <f>'F1'!B12</f>
        <v>F1</v>
      </c>
      <c r="C12" s="14" t="str">
        <f>'F1'!C12</f>
        <v>synthetic_glucose_rich_fructose_pulse</v>
      </c>
      <c r="D12" s="13" t="str">
        <f>'F1'!D12</f>
        <v>DOE-LAB004-11</v>
      </c>
      <c r="E12" s="13">
        <f>'F1'!E12</f>
        <v>11</v>
      </c>
      <c r="F12" s="15">
        <f>'F1'!F12</f>
        <v>0</v>
      </c>
      <c r="G12" s="16">
        <f>'F1'!G12</f>
        <v>0</v>
      </c>
      <c r="H12" s="13" t="str">
        <f>'F1'!H12</f>
        <v>pending_manual_entry</v>
      </c>
      <c r="I12" s="13" t="b">
        <f>'F1'!I12</f>
        <v>1</v>
      </c>
      <c r="J12" s="15">
        <f>'F1'!J12</f>
        <v>46212.437048611107</v>
      </c>
      <c r="K12" s="15">
        <f>'F1'!K12</f>
        <v>46212.447905092587</v>
      </c>
      <c r="L12" s="13" t="str">
        <f>'F1'!L12</f>
        <v>ONLINE(26-07-09 10-09)_1.txt</v>
      </c>
      <c r="M12" s="16">
        <f>'F1'!M12</f>
        <v>48.3</v>
      </c>
      <c r="N12" s="11">
        <f>'F1'!N12</f>
        <v>27.400000000000006</v>
      </c>
      <c r="O12" s="16">
        <f>'F1'!O12</f>
        <v>75.7</v>
      </c>
      <c r="P12" s="16">
        <f>'F1'!P12</f>
        <v>-1</v>
      </c>
      <c r="Q12" s="16">
        <f>'F1'!Q12</f>
        <v>18</v>
      </c>
      <c r="R12" s="11">
        <f>'F1'!R12</f>
        <v>17</v>
      </c>
      <c r="S12" s="16">
        <f>'F1'!S12</f>
        <v>4.28</v>
      </c>
      <c r="T12" s="16">
        <f>'F1'!T12</f>
        <v>0.43</v>
      </c>
      <c r="U12" s="16">
        <f>'F1'!U12</f>
        <v>76</v>
      </c>
      <c r="V12" s="16">
        <f>'F1'!V12</f>
        <v>80</v>
      </c>
      <c r="W12" s="16">
        <f>'F1'!W12</f>
        <v>5.07</v>
      </c>
      <c r="X12" s="16">
        <f>'F1'!X12</f>
        <v>0</v>
      </c>
      <c r="Y12" s="11">
        <f>'F1'!Y12</f>
        <v>4.7700000000000005</v>
      </c>
      <c r="Z12" s="16">
        <f>'F1'!Z12</f>
        <v>0</v>
      </c>
      <c r="AA12" s="11">
        <f>'F1'!AA12</f>
        <v>37.635300000000001</v>
      </c>
      <c r="AB12" s="15">
        <f>'F1'!AB12</f>
        <v>0</v>
      </c>
      <c r="AC12" s="13">
        <f>'F1'!AC12</f>
        <v>0</v>
      </c>
      <c r="AD12" s="13">
        <f>'F1'!AD12</f>
        <v>0</v>
      </c>
      <c r="AE12" s="13">
        <f>'F1'!AE12</f>
        <v>0</v>
      </c>
      <c r="AF12" s="14">
        <f>'F1'!AF12</f>
        <v>0</v>
      </c>
    </row>
    <row r="13" spans="1:32" ht="24" customHeight="1" x14ac:dyDescent="0.25">
      <c r="A13" s="13" t="str">
        <f>'F1'!A13</f>
        <v>DOE_Lote_2</v>
      </c>
      <c r="B13" s="13" t="str">
        <f>'F1'!B13</f>
        <v>F1</v>
      </c>
      <c r="C13" s="14" t="str">
        <f>'F1'!C13</f>
        <v>synthetic_glucose_rich_fructose_pulse</v>
      </c>
      <c r="D13" s="13" t="str">
        <f>'F1'!D13</f>
        <v>DOE-LAB004-12</v>
      </c>
      <c r="E13" s="13">
        <f>'F1'!E13</f>
        <v>12</v>
      </c>
      <c r="F13" s="15">
        <f>'F1'!F13</f>
        <v>0</v>
      </c>
      <c r="G13" s="16">
        <f>'F1'!G13</f>
        <v>0</v>
      </c>
      <c r="H13" s="13" t="str">
        <f>'F1'!H13</f>
        <v>pending_manual_entry</v>
      </c>
      <c r="I13" s="13" t="b">
        <f>'F1'!I13</f>
        <v>1</v>
      </c>
      <c r="J13" s="15">
        <f>'F1'!J13</f>
        <v>46212.531828703701</v>
      </c>
      <c r="K13" s="15">
        <f>'F1'!K13</f>
        <v>46212.5387962963</v>
      </c>
      <c r="L13" s="13" t="str">
        <f>'F1'!L13</f>
        <v>ONLINE(26-07-09 10-09)_1.txt</v>
      </c>
      <c r="M13" s="16">
        <f>'F1'!M13</f>
        <v>47.22</v>
      </c>
      <c r="N13" s="11">
        <f>'F1'!N13</f>
        <v>72.73</v>
      </c>
      <c r="O13" s="16">
        <f>'F1'!O13</f>
        <v>119.95</v>
      </c>
      <c r="P13" s="16">
        <f>'F1'!P13</f>
        <v>0</v>
      </c>
      <c r="Q13" s="16">
        <f>'F1'!Q13</f>
        <v>20</v>
      </c>
      <c r="R13" s="11">
        <f>'F1'!R13</f>
        <v>20</v>
      </c>
      <c r="S13" s="16">
        <f>'F1'!S13</f>
        <v>4.6500000000000004</v>
      </c>
      <c r="T13" s="16">
        <f>'F1'!T13</f>
        <v>0.49</v>
      </c>
      <c r="U13" s="16">
        <f>'F1'!U13</f>
        <v>81</v>
      </c>
      <c r="V13" s="16">
        <f>'F1'!V13</f>
        <v>215</v>
      </c>
      <c r="W13" s="16">
        <f>'F1'!W13</f>
        <v>0</v>
      </c>
      <c r="X13" s="16">
        <f>'F1'!X13</f>
        <v>0</v>
      </c>
      <c r="Y13" s="11">
        <f>'F1'!Y13</f>
        <v>0</v>
      </c>
      <c r="Z13" s="16">
        <f>'F1'!Z13</f>
        <v>0</v>
      </c>
      <c r="AA13" s="11" t="str">
        <f>'F1'!AA13</f>
        <v/>
      </c>
      <c r="AB13" s="15">
        <f>'F1'!AB13</f>
        <v>0</v>
      </c>
      <c r="AC13" s="13">
        <f>'F1'!AC13</f>
        <v>0</v>
      </c>
      <c r="AD13" s="13">
        <f>'F1'!AD13</f>
        <v>0</v>
      </c>
      <c r="AE13" s="13">
        <f>'F1'!AE13</f>
        <v>0</v>
      </c>
      <c r="AF13" s="14">
        <f>'F1'!AF13</f>
        <v>0</v>
      </c>
    </row>
    <row r="14" spans="1:32" ht="24" customHeight="1" x14ac:dyDescent="0.25">
      <c r="A14" s="13" t="str">
        <f>'F1'!A14</f>
        <v>DOE_Lote_2</v>
      </c>
      <c r="B14" s="13" t="str">
        <f>'F1'!B14</f>
        <v>F1</v>
      </c>
      <c r="C14" s="14" t="str">
        <f>'F1'!C14</f>
        <v>synthetic_glucose_rich_fructose_pulse</v>
      </c>
      <c r="D14" s="13" t="str">
        <f>'F1'!D14</f>
        <v>DOE-LAB004-13</v>
      </c>
      <c r="E14" s="13">
        <f>'F1'!E14</f>
        <v>13</v>
      </c>
      <c r="F14" s="15">
        <f>'F1'!F14</f>
        <v>0</v>
      </c>
      <c r="G14" s="16">
        <f>'F1'!G14</f>
        <v>0</v>
      </c>
      <c r="H14" s="13" t="str">
        <f>'F1'!H14</f>
        <v>pending_manual_entry</v>
      </c>
      <c r="I14" s="13" t="b">
        <f>'F1'!I14</f>
        <v>1</v>
      </c>
      <c r="J14" s="15">
        <f>'F1'!J14</f>
        <v>46212.713020833333</v>
      </c>
      <c r="K14" s="15">
        <f>'F1'!K14</f>
        <v>46212.742314814823</v>
      </c>
      <c r="L14" s="13" t="str">
        <f>'F1'!L14</f>
        <v>ONLINE(26-07-09 10-09)_1.txt</v>
      </c>
      <c r="M14" s="16">
        <f>'F1'!M14</f>
        <v>35.07</v>
      </c>
      <c r="N14" s="11">
        <f>'F1'!N14</f>
        <v>55.860000000000007</v>
      </c>
      <c r="O14" s="16">
        <f>'F1'!O14</f>
        <v>90.93</v>
      </c>
      <c r="P14" s="16">
        <f>'F1'!P14</f>
        <v>0</v>
      </c>
      <c r="Q14" s="16">
        <f>'F1'!Q14</f>
        <v>19</v>
      </c>
      <c r="R14" s="11">
        <f>'F1'!R14</f>
        <v>19</v>
      </c>
      <c r="S14" s="16">
        <f>'F1'!S14</f>
        <v>4.75</v>
      </c>
      <c r="T14" s="16">
        <f>'F1'!T14</f>
        <v>0.62</v>
      </c>
      <c r="U14" s="16">
        <f>'F1'!U14</f>
        <v>84</v>
      </c>
      <c r="V14" s="16">
        <f>'F1'!V14</f>
        <v>122</v>
      </c>
      <c r="W14" s="16">
        <f>'F1'!W14</f>
        <v>5.81</v>
      </c>
      <c r="X14" s="16">
        <f>'F1'!X14</f>
        <v>0</v>
      </c>
      <c r="Y14" s="11">
        <f>'F1'!Y14</f>
        <v>5.51</v>
      </c>
      <c r="Z14" s="16">
        <f>'F1'!Z14</f>
        <v>0</v>
      </c>
      <c r="AA14" s="11">
        <f>'F1'!AA14</f>
        <v>43.473899999999993</v>
      </c>
      <c r="AB14" s="15">
        <f>'F1'!AB14</f>
        <v>0</v>
      </c>
      <c r="AC14" s="13">
        <f>'F1'!AC14</f>
        <v>0</v>
      </c>
      <c r="AD14" s="13">
        <f>'F1'!AD14</f>
        <v>0</v>
      </c>
      <c r="AE14" s="13">
        <f>'F1'!AE14</f>
        <v>0</v>
      </c>
      <c r="AF14" s="14">
        <f>'F1'!AF14</f>
        <v>0</v>
      </c>
    </row>
    <row r="15" spans="1:32" ht="24" customHeight="1" x14ac:dyDescent="0.25">
      <c r="A15" s="13" t="str">
        <f>'F1'!A15</f>
        <v>DOE_Lote_2</v>
      </c>
      <c r="B15" s="13" t="str">
        <f>'F1'!B15</f>
        <v>F1</v>
      </c>
      <c r="C15" s="14" t="str">
        <f>'F1'!C15</f>
        <v>synthetic_glucose_rich_fructose_pulse</v>
      </c>
      <c r="D15" s="13" t="str">
        <f>'F1'!D15</f>
        <v>DOE-LAB004-14</v>
      </c>
      <c r="E15" s="13">
        <f>'F1'!E15</f>
        <v>14</v>
      </c>
      <c r="F15" s="15">
        <f>'F1'!F15</f>
        <v>0</v>
      </c>
      <c r="G15" s="16">
        <f>'F1'!G15</f>
        <v>0</v>
      </c>
      <c r="H15" s="13" t="str">
        <f>'F1'!H15</f>
        <v>pending_manual_entry</v>
      </c>
      <c r="I15" s="13" t="b">
        <f>'F1'!I15</f>
        <v>0</v>
      </c>
      <c r="J15" s="15">
        <f>'F1'!J15</f>
        <v>0</v>
      </c>
      <c r="K15" s="15">
        <f>'F1'!K15</f>
        <v>0</v>
      </c>
      <c r="L15" s="13">
        <f>'F1'!L15</f>
        <v>0</v>
      </c>
      <c r="M15" s="16">
        <f>'F1'!M15</f>
        <v>0</v>
      </c>
      <c r="N15" s="11" t="str">
        <f>'F1'!N15</f>
        <v/>
      </c>
      <c r="O15" s="16">
        <f>'F1'!O15</f>
        <v>0</v>
      </c>
      <c r="P15" s="16">
        <f>'F1'!P15</f>
        <v>0</v>
      </c>
      <c r="Q15" s="16">
        <f>'F1'!Q15</f>
        <v>0</v>
      </c>
      <c r="R15" s="11" t="str">
        <f>'F1'!R15</f>
        <v/>
      </c>
      <c r="S15" s="16">
        <f>'F1'!S15</f>
        <v>0</v>
      </c>
      <c r="T15" s="16">
        <f>'F1'!T15</f>
        <v>0</v>
      </c>
      <c r="U15" s="16">
        <f>'F1'!U15</f>
        <v>0</v>
      </c>
      <c r="V15" s="16">
        <f>'F1'!V15</f>
        <v>0</v>
      </c>
      <c r="W15" s="16">
        <f>'F1'!W15</f>
        <v>7.04</v>
      </c>
      <c r="X15" s="16">
        <f>'F1'!X15</f>
        <v>0</v>
      </c>
      <c r="Y15" s="11">
        <f>'F1'!Y15</f>
        <v>6.74</v>
      </c>
      <c r="Z15" s="16">
        <f>'F1'!Z15</f>
        <v>0</v>
      </c>
      <c r="AA15" s="11">
        <f>'F1'!AA15</f>
        <v>53.178600000000003</v>
      </c>
      <c r="AB15" s="15">
        <f>'F1'!AB15</f>
        <v>0</v>
      </c>
      <c r="AC15" s="13">
        <f>'F1'!AC15</f>
        <v>0</v>
      </c>
      <c r="AD15" s="13">
        <f>'F1'!AD15</f>
        <v>0</v>
      </c>
      <c r="AE15" s="13">
        <f>'F1'!AE15</f>
        <v>0</v>
      </c>
      <c r="AF15" s="14">
        <f>'F1'!AF15</f>
        <v>0</v>
      </c>
    </row>
    <row r="16" spans="1:32" ht="24" customHeight="1" x14ac:dyDescent="0.25">
      <c r="A16" s="13" t="str">
        <f>'F1'!A16</f>
        <v>DOE_Lote_2</v>
      </c>
      <c r="B16" s="13" t="str">
        <f>'F1'!B16</f>
        <v>F1</v>
      </c>
      <c r="C16" s="14" t="str">
        <f>'F1'!C16</f>
        <v>synthetic_glucose_rich_fructose_pulse</v>
      </c>
      <c r="D16" s="13" t="str">
        <f>'F1'!D16</f>
        <v>DOE-LAB004-15</v>
      </c>
      <c r="E16" s="13">
        <f>'F1'!E16</f>
        <v>15</v>
      </c>
      <c r="F16" s="15">
        <f>'F1'!F16</f>
        <v>0</v>
      </c>
      <c r="G16" s="16">
        <f>'F1'!G16</f>
        <v>0</v>
      </c>
      <c r="H16" s="13" t="str">
        <f>'F1'!H16</f>
        <v>pending_manual_entry</v>
      </c>
      <c r="I16" s="13" t="b">
        <f>'F1'!I16</f>
        <v>1</v>
      </c>
      <c r="J16" s="15">
        <f>'F1'!J16</f>
        <v>46213.4221412037</v>
      </c>
      <c r="K16" s="15">
        <f>'F1'!K16</f>
        <v>46213.431597222218</v>
      </c>
      <c r="L16" s="13" t="str">
        <f>'F1'!L16</f>
        <v>ONLINE(26-07-10 09-47)_1.txt</v>
      </c>
      <c r="M16" s="16">
        <f>'F1'!M16</f>
        <v>27.36</v>
      </c>
      <c r="N16" s="11">
        <f>'F1'!N16</f>
        <v>48.790000000000006</v>
      </c>
      <c r="O16" s="16">
        <f>'F1'!O16</f>
        <v>76.150000000000006</v>
      </c>
      <c r="P16" s="16">
        <f>'F1'!P16</f>
        <v>-2</v>
      </c>
      <c r="Q16" s="16">
        <f>'F1'!Q16</f>
        <v>18</v>
      </c>
      <c r="R16" s="11">
        <f>'F1'!R16</f>
        <v>16</v>
      </c>
      <c r="S16" s="16">
        <f>'F1'!S16</f>
        <v>4.7300000000000004</v>
      </c>
      <c r="T16" s="16">
        <f>'F1'!T16</f>
        <v>0.44</v>
      </c>
      <c r="U16" s="16">
        <f>'F1'!U16</f>
        <v>36</v>
      </c>
      <c r="V16" s="16">
        <f>'F1'!V16</f>
        <v>69</v>
      </c>
      <c r="W16" s="16">
        <f>'F1'!W16</f>
        <v>7.48</v>
      </c>
      <c r="X16" s="16">
        <f>'F1'!X16</f>
        <v>0</v>
      </c>
      <c r="Y16" s="11">
        <f>'F1'!Y16</f>
        <v>7.1800000000000006</v>
      </c>
      <c r="Z16" s="16">
        <f>'F1'!Z16</f>
        <v>0</v>
      </c>
      <c r="AA16" s="11">
        <f>'F1'!AA16</f>
        <v>56.650200000000005</v>
      </c>
      <c r="AB16" s="15">
        <f>'F1'!AB16</f>
        <v>0</v>
      </c>
      <c r="AC16" s="13">
        <f>'F1'!AC16</f>
        <v>0</v>
      </c>
      <c r="AD16" s="13">
        <f>'F1'!AD16</f>
        <v>0</v>
      </c>
      <c r="AE16" s="13">
        <f>'F1'!AE16</f>
        <v>0</v>
      </c>
      <c r="AF16" s="14">
        <f>'F1'!AF16</f>
        <v>0</v>
      </c>
    </row>
    <row r="17" spans="1:32" ht="24" customHeight="1" x14ac:dyDescent="0.25">
      <c r="A17" s="13" t="str">
        <f>'F1'!A17</f>
        <v>DOE_Lote_2</v>
      </c>
      <c r="B17" s="13" t="str">
        <f>'F1'!B17</f>
        <v>F1</v>
      </c>
      <c r="C17" s="14" t="str">
        <f>'F1'!C17</f>
        <v>synthetic_glucose_rich_fructose_pulse</v>
      </c>
      <c r="D17" s="13" t="str">
        <f>'F1'!D17</f>
        <v>DOE-LAB004-16</v>
      </c>
      <c r="E17" s="13">
        <f>'F1'!E17</f>
        <v>16</v>
      </c>
      <c r="F17" s="15">
        <f>'F1'!F17</f>
        <v>0</v>
      </c>
      <c r="G17" s="16">
        <f>'F1'!G17</f>
        <v>0</v>
      </c>
      <c r="H17" s="13" t="str">
        <f>'F1'!H17</f>
        <v>pending_manual_entry</v>
      </c>
      <c r="I17" s="13" t="b">
        <f>'F1'!I17</f>
        <v>1</v>
      </c>
      <c r="J17" s="15">
        <f>'F1'!J17</f>
        <v>46213.540254629632</v>
      </c>
      <c r="K17" s="15">
        <f>'F1'!K17</f>
        <v>46213.547777777778</v>
      </c>
      <c r="L17" s="13" t="str">
        <f>'F1'!L17</f>
        <v>ONLINE(26-07-10 09-47)_1.txt</v>
      </c>
      <c r="M17" s="16">
        <f>'F1'!M17</f>
        <v>24.4</v>
      </c>
      <c r="N17" s="11">
        <f>'F1'!N17</f>
        <v>47.910000000000004</v>
      </c>
      <c r="O17" s="16">
        <f>'F1'!O17</f>
        <v>72.31</v>
      </c>
      <c r="P17" s="16">
        <f>'F1'!P17</f>
        <v>-1</v>
      </c>
      <c r="Q17" s="16">
        <f>'F1'!Q17</f>
        <v>17</v>
      </c>
      <c r="R17" s="11">
        <f>'F1'!R17</f>
        <v>16</v>
      </c>
      <c r="S17" s="16">
        <f>'F1'!S17</f>
        <v>4.95</v>
      </c>
      <c r="T17" s="16">
        <f>'F1'!T17</f>
        <v>0.5</v>
      </c>
      <c r="U17" s="16">
        <f>'F1'!U17</f>
        <v>42</v>
      </c>
      <c r="V17" s="16">
        <f>'F1'!V17</f>
        <v>97</v>
      </c>
      <c r="W17" s="16">
        <f>'F1'!W17</f>
        <v>10.84</v>
      </c>
      <c r="X17" s="16">
        <f>'F1'!X17</f>
        <v>0</v>
      </c>
      <c r="Y17" s="11">
        <f>'F1'!Y17</f>
        <v>10.54</v>
      </c>
      <c r="Z17" s="16">
        <f>'F1'!Z17</f>
        <v>0</v>
      </c>
      <c r="AA17" s="11">
        <f>'F1'!AA17</f>
        <v>83.160599999999988</v>
      </c>
      <c r="AB17" s="15">
        <f>'F1'!AB17</f>
        <v>0</v>
      </c>
      <c r="AC17" s="13">
        <f>'F1'!AC17</f>
        <v>0</v>
      </c>
      <c r="AD17" s="13">
        <f>'F1'!AD17</f>
        <v>0</v>
      </c>
      <c r="AE17" s="13">
        <f>'F1'!AE17</f>
        <v>0</v>
      </c>
      <c r="AF17" s="14">
        <f>'F1'!AF17</f>
        <v>0</v>
      </c>
    </row>
    <row r="18" spans="1:32" ht="24" customHeight="1" x14ac:dyDescent="0.25">
      <c r="A18" s="13" t="str">
        <f>'F1'!A18</f>
        <v>DOE_Lote_2</v>
      </c>
      <c r="B18" s="13" t="str">
        <f>'F1'!B18</f>
        <v>F1</v>
      </c>
      <c r="C18" s="14" t="str">
        <f>'F1'!C18</f>
        <v>synthetic_glucose_rich_fructose_pulse</v>
      </c>
      <c r="D18" s="13" t="str">
        <f>'F1'!D18</f>
        <v>DOE-LAB004-17</v>
      </c>
      <c r="E18" s="13">
        <f>'F1'!E18</f>
        <v>17</v>
      </c>
      <c r="F18" s="15">
        <f>'F1'!F18</f>
        <v>0</v>
      </c>
      <c r="G18" s="16">
        <f>'F1'!G18</f>
        <v>0</v>
      </c>
      <c r="H18" s="13" t="str">
        <f>'F1'!H18</f>
        <v>pending_manual_entry</v>
      </c>
      <c r="I18" s="13" t="b">
        <f>'F1'!I18</f>
        <v>0</v>
      </c>
      <c r="J18" s="15">
        <f>'F1'!J18</f>
        <v>0</v>
      </c>
      <c r="K18" s="15">
        <f>'F1'!K18</f>
        <v>0</v>
      </c>
      <c r="L18" s="13">
        <f>'F1'!L18</f>
        <v>0</v>
      </c>
      <c r="M18" s="16">
        <f>'F1'!M18</f>
        <v>0</v>
      </c>
      <c r="N18" s="11" t="str">
        <f>'F1'!N18</f>
        <v/>
      </c>
      <c r="O18" s="16">
        <f>'F1'!O18</f>
        <v>0</v>
      </c>
      <c r="P18" s="16">
        <f>'F1'!P18</f>
        <v>0</v>
      </c>
      <c r="Q18" s="16">
        <f>'F1'!Q18</f>
        <v>0</v>
      </c>
      <c r="R18" s="11" t="str">
        <f>'F1'!R18</f>
        <v/>
      </c>
      <c r="S18" s="16">
        <f>'F1'!S18</f>
        <v>0</v>
      </c>
      <c r="T18" s="16">
        <f>'F1'!T18</f>
        <v>0</v>
      </c>
      <c r="U18" s="16">
        <f>'F1'!U18</f>
        <v>0</v>
      </c>
      <c r="V18" s="16">
        <f>'F1'!V18</f>
        <v>0</v>
      </c>
      <c r="W18" s="16">
        <f>'F1'!W18</f>
        <v>11.03</v>
      </c>
      <c r="X18" s="16">
        <f>'F1'!X18</f>
        <v>0</v>
      </c>
      <c r="Y18" s="11">
        <f>'F1'!Y18</f>
        <v>10.729999999999999</v>
      </c>
      <c r="Z18" s="16">
        <f>'F1'!Z18</f>
        <v>0</v>
      </c>
      <c r="AA18" s="11">
        <f>'F1'!AA18</f>
        <v>84.659699999999987</v>
      </c>
      <c r="AB18" s="15">
        <f>'F1'!AB18</f>
        <v>0</v>
      </c>
      <c r="AC18" s="13">
        <f>'F1'!AC18</f>
        <v>0</v>
      </c>
      <c r="AD18" s="13">
        <f>'F1'!AD18</f>
        <v>0</v>
      </c>
      <c r="AE18" s="13">
        <f>'F1'!AE18</f>
        <v>0</v>
      </c>
      <c r="AF18" s="14">
        <f>'F1'!AF18</f>
        <v>0</v>
      </c>
    </row>
    <row r="19" spans="1:32" ht="24" customHeight="1" x14ac:dyDescent="0.25">
      <c r="A19" s="13" t="str">
        <f>'F1'!A19</f>
        <v>DOE_Lote_2</v>
      </c>
      <c r="B19" s="13" t="str">
        <f>'F1'!B19</f>
        <v>F1</v>
      </c>
      <c r="C19" s="14" t="str">
        <f>'F1'!C19</f>
        <v>synthetic_glucose_rich_fructose_pulse</v>
      </c>
      <c r="D19" s="13" t="str">
        <f>'F1'!D19</f>
        <v>DOE-LAB004-18</v>
      </c>
      <c r="E19" s="13">
        <f>'F1'!E19</f>
        <v>18</v>
      </c>
      <c r="F19" s="15">
        <f>'F1'!F19</f>
        <v>0</v>
      </c>
      <c r="G19" s="16">
        <f>'F1'!G19</f>
        <v>0</v>
      </c>
      <c r="H19" s="13" t="str">
        <f>'F1'!H19</f>
        <v>pending_manual_entry</v>
      </c>
      <c r="I19" s="13" t="b">
        <f>'F1'!I19</f>
        <v>1</v>
      </c>
      <c r="J19" s="15">
        <f>'F1'!J19</f>
        <v>46217.461354166669</v>
      </c>
      <c r="K19" s="15">
        <f>'F1'!K19</f>
        <v>46217.484166666669</v>
      </c>
      <c r="L19" s="13" t="str">
        <f>'F1'!L19</f>
        <v>ONLINE(26-07-14 10-40)_1.txt</v>
      </c>
      <c r="M19" s="16">
        <f>'F1'!M19</f>
        <v>0.24</v>
      </c>
      <c r="N19" s="11">
        <f>'F1'!N19</f>
        <v>11.19</v>
      </c>
      <c r="O19" s="16">
        <f>'F1'!O19</f>
        <v>11.43</v>
      </c>
      <c r="P19" s="16">
        <f>'F1'!P19</f>
        <v>0</v>
      </c>
      <c r="Q19" s="16">
        <f>'F1'!Q19</f>
        <v>12</v>
      </c>
      <c r="R19" s="11">
        <f>'F1'!R19</f>
        <v>12</v>
      </c>
      <c r="S19" s="16">
        <f>'F1'!S19</f>
        <v>5.73</v>
      </c>
      <c r="T19" s="16">
        <f>'F1'!T19</f>
        <v>0.49</v>
      </c>
      <c r="U19" s="16">
        <f>'F1'!U19</f>
        <v>47</v>
      </c>
      <c r="V19" s="16">
        <f>'F1'!V19</f>
        <v>0</v>
      </c>
      <c r="W19" s="16">
        <f>'F1'!W19</f>
        <v>11.08</v>
      </c>
      <c r="X19" s="16">
        <f>'F1'!X19</f>
        <v>0</v>
      </c>
      <c r="Y19" s="11">
        <f>'F1'!Y19</f>
        <v>10.78</v>
      </c>
      <c r="Z19" s="16">
        <f>'F1'!Z19</f>
        <v>0</v>
      </c>
      <c r="AA19" s="11">
        <f>'F1'!AA19</f>
        <v>85.054199999999994</v>
      </c>
      <c r="AB19" s="15">
        <f>'F1'!AB19</f>
        <v>0</v>
      </c>
      <c r="AC19" s="13">
        <f>'F1'!AC19</f>
        <v>0</v>
      </c>
      <c r="AD19" s="13">
        <f>'F1'!AD19</f>
        <v>0</v>
      </c>
      <c r="AE19" s="13">
        <f>'F1'!AE19</f>
        <v>0</v>
      </c>
      <c r="AF19" s="14">
        <f>'F1'!AF19</f>
        <v>0</v>
      </c>
    </row>
    <row r="20" spans="1:32" ht="24" customHeight="1" x14ac:dyDescent="0.25">
      <c r="A20" s="13" t="str">
        <f>'F2'!A2</f>
        <v>DOE_Lote_2</v>
      </c>
      <c r="B20" s="13" t="str">
        <f>'F2'!B2</f>
        <v>F2</v>
      </c>
      <c r="C20" s="14" t="str">
        <f>'F2'!C2</f>
        <v>synthetic_lit_SM410_24C_highN_strip</v>
      </c>
      <c r="D20" s="13" t="str">
        <f>'F2'!D2</f>
        <v>DOE-LAB005-1</v>
      </c>
      <c r="E20" s="13">
        <f>'F2'!E2</f>
        <v>1</v>
      </c>
      <c r="F20" s="15">
        <f>'F2'!F2</f>
        <v>0</v>
      </c>
      <c r="G20" s="16">
        <f>'F2'!G2</f>
        <v>0</v>
      </c>
      <c r="H20" s="13" t="str">
        <f>'F2'!H2</f>
        <v>pending_manual_entry</v>
      </c>
      <c r="I20" s="13" t="b">
        <f>'F2'!I2</f>
        <v>1</v>
      </c>
      <c r="J20" s="15">
        <f>'F2'!J2</f>
        <v>46209.555798611109</v>
      </c>
      <c r="K20" s="15">
        <f>'F2'!K2</f>
        <v>46209.566377314812</v>
      </c>
      <c r="L20" s="13" t="str">
        <f>'F2'!L2</f>
        <v>ONLINE(26-07-06 11-48)_1.txt</v>
      </c>
      <c r="M20" s="16">
        <f>'F2'!M2</f>
        <v>94.1</v>
      </c>
      <c r="N20" s="11">
        <f>'F2'!N2</f>
        <v>119.02000000000001</v>
      </c>
      <c r="O20" s="16">
        <f>'F2'!O2</f>
        <v>213.12</v>
      </c>
      <c r="P20" s="16">
        <f>'F2'!P2</f>
        <v>212</v>
      </c>
      <c r="Q20" s="16">
        <f>'F2'!Q2</f>
        <v>90</v>
      </c>
      <c r="R20" s="11">
        <f>'F2'!R2</f>
        <v>302</v>
      </c>
      <c r="S20" s="16">
        <f>'F2'!S2</f>
        <v>0.27</v>
      </c>
      <c r="T20" s="16">
        <f>'F2'!T2</f>
        <v>0.1</v>
      </c>
      <c r="U20" s="16">
        <f>'F2'!U2</f>
        <v>7</v>
      </c>
      <c r="V20" s="16">
        <f>'F2'!V2</f>
        <v>53</v>
      </c>
      <c r="W20" s="16">
        <f>'F2'!W2</f>
        <v>0.36</v>
      </c>
      <c r="X20" s="16">
        <f>'F2'!X2</f>
        <v>0</v>
      </c>
      <c r="Y20" s="11">
        <f>'F2'!Y2</f>
        <v>0.06</v>
      </c>
      <c r="Z20" s="16">
        <f>'F2'!Z2</f>
        <v>0</v>
      </c>
      <c r="AA20" s="11">
        <f>'F2'!AA2</f>
        <v>0.47339999999999999</v>
      </c>
      <c r="AB20" s="15">
        <f>'F2'!AB2</f>
        <v>0</v>
      </c>
      <c r="AC20" s="13">
        <f>'F2'!AC2</f>
        <v>0</v>
      </c>
      <c r="AD20" s="13">
        <f>'F2'!AD2</f>
        <v>0</v>
      </c>
      <c r="AE20" s="13">
        <f>'F2'!AE2</f>
        <v>0</v>
      </c>
      <c r="AF20" s="14">
        <f>'F2'!AF2</f>
        <v>0</v>
      </c>
    </row>
    <row r="21" spans="1:32" ht="24" customHeight="1" x14ac:dyDescent="0.25">
      <c r="A21" s="13" t="str">
        <f>'F2'!A3</f>
        <v>DOE_Lote_2</v>
      </c>
      <c r="B21" s="13" t="str">
        <f>'F2'!B3</f>
        <v>F2</v>
      </c>
      <c r="C21" s="14" t="str">
        <f>'F2'!C3</f>
        <v>synthetic_lit_SM410_24C_highN_strip</v>
      </c>
      <c r="D21" s="13" t="str">
        <f>'F2'!D3</f>
        <v>DOE-LAB005-2</v>
      </c>
      <c r="E21" s="13">
        <f>'F2'!E3</f>
        <v>2</v>
      </c>
      <c r="F21" s="15">
        <f>'F2'!F3</f>
        <v>0</v>
      </c>
      <c r="G21" s="16">
        <f>'F2'!G3</f>
        <v>0</v>
      </c>
      <c r="H21" s="13" t="str">
        <f>'F2'!H3</f>
        <v>pending_manual_entry</v>
      </c>
      <c r="I21" s="13" t="b">
        <f>'F2'!I3</f>
        <v>1</v>
      </c>
      <c r="J21" s="15">
        <f>'F2'!J3</f>
        <v>46209.658356481479</v>
      </c>
      <c r="K21" s="15">
        <f>'F2'!K3</f>
        <v>46209.675324074073</v>
      </c>
      <c r="L21" s="13" t="str">
        <f>'F2'!L3</f>
        <v>ONLINE(26-07-06 11-48)_1.txt</v>
      </c>
      <c r="M21" s="16">
        <f>'F2'!M3</f>
        <v>96.91</v>
      </c>
      <c r="N21" s="11">
        <f>'F2'!N3</f>
        <v>119.28</v>
      </c>
      <c r="O21" s="16">
        <f>'F2'!O3</f>
        <v>216.19</v>
      </c>
      <c r="P21" s="16">
        <f>'F2'!P3</f>
        <v>215</v>
      </c>
      <c r="Q21" s="16">
        <f>'F2'!Q3</f>
        <v>89</v>
      </c>
      <c r="R21" s="11">
        <f>'F2'!R3</f>
        <v>304</v>
      </c>
      <c r="S21" s="16">
        <f>'F2'!S3</f>
        <v>0.32</v>
      </c>
      <c r="T21" s="16">
        <f>'F2'!T3</f>
        <v>0.12</v>
      </c>
      <c r="U21" s="16">
        <f>'F2'!U3</f>
        <v>9</v>
      </c>
      <c r="V21" s="16">
        <f>'F2'!V3</f>
        <v>53</v>
      </c>
      <c r="W21" s="16">
        <f>'F2'!W3</f>
        <v>0</v>
      </c>
      <c r="X21" s="16">
        <f>'F2'!X3</f>
        <v>0</v>
      </c>
      <c r="Y21" s="11">
        <f>'F2'!Y3</f>
        <v>0</v>
      </c>
      <c r="Z21" s="16">
        <f>'F2'!Z3</f>
        <v>0</v>
      </c>
      <c r="AA21" s="11" t="str">
        <f>'F2'!AA3</f>
        <v/>
      </c>
      <c r="AB21" s="15">
        <f>'F2'!AB3</f>
        <v>0</v>
      </c>
      <c r="AC21" s="13">
        <f>'F2'!AC3</f>
        <v>0</v>
      </c>
      <c r="AD21" s="13">
        <f>'F2'!AD3</f>
        <v>0</v>
      </c>
      <c r="AE21" s="13">
        <f>'F2'!AE3</f>
        <v>0</v>
      </c>
      <c r="AF21" s="14">
        <f>'F2'!AF3</f>
        <v>0</v>
      </c>
    </row>
    <row r="22" spans="1:32" ht="24" customHeight="1" x14ac:dyDescent="0.25">
      <c r="A22" s="13" t="str">
        <f>'F2'!A4</f>
        <v>DOE_Lote_2</v>
      </c>
      <c r="B22" s="13" t="str">
        <f>'F2'!B4</f>
        <v>F2</v>
      </c>
      <c r="C22" s="14" t="str">
        <f>'F2'!C4</f>
        <v>synthetic_lit_SM410_24C_highN_strip</v>
      </c>
      <c r="D22" s="13" t="str">
        <f>'F2'!D4</f>
        <v>DOE-LAB005-3</v>
      </c>
      <c r="E22" s="13">
        <f>'F2'!E4</f>
        <v>3</v>
      </c>
      <c r="F22" s="15">
        <f>'F2'!F4</f>
        <v>0</v>
      </c>
      <c r="G22" s="16">
        <f>'F2'!G4</f>
        <v>0</v>
      </c>
      <c r="H22" s="13" t="str">
        <f>'F2'!H4</f>
        <v>pending_manual_entry</v>
      </c>
      <c r="I22" s="13" t="b">
        <f>'F2'!I4</f>
        <v>1</v>
      </c>
      <c r="J22" s="15">
        <f>'F2'!J4</f>
        <v>46209.703402777777</v>
      </c>
      <c r="K22" s="15">
        <f>'F2'!K4</f>
        <v>46209.717326388891</v>
      </c>
      <c r="L22" s="13" t="str">
        <f>'F2'!L4</f>
        <v>ONLINE(26-07-06 11-48)_1.txt</v>
      </c>
      <c r="M22" s="16">
        <f>'F2'!M4</f>
        <v>97.61</v>
      </c>
      <c r="N22" s="11">
        <f>'F2'!N4</f>
        <v>115.01</v>
      </c>
      <c r="O22" s="16">
        <f>'F2'!O4</f>
        <v>212.62</v>
      </c>
      <c r="P22" s="16">
        <f>'F2'!P4</f>
        <v>210</v>
      </c>
      <c r="Q22" s="16">
        <f>'F2'!Q4</f>
        <v>88</v>
      </c>
      <c r="R22" s="11">
        <f>'F2'!R4</f>
        <v>298</v>
      </c>
      <c r="S22" s="16">
        <f>'F2'!S4</f>
        <v>0.36</v>
      </c>
      <c r="T22" s="16">
        <f>'F2'!T4</f>
        <v>0.14000000000000001</v>
      </c>
      <c r="U22" s="16">
        <f>'F2'!U4</f>
        <v>17</v>
      </c>
      <c r="V22" s="16">
        <f>'F2'!V4</f>
        <v>52</v>
      </c>
      <c r="W22" s="16">
        <f>'F2'!W4</f>
        <v>0.4</v>
      </c>
      <c r="X22" s="16">
        <f>'F2'!X4</f>
        <v>0</v>
      </c>
      <c r="Y22" s="11">
        <f>'F2'!Y4</f>
        <v>0.10000000000000003</v>
      </c>
      <c r="Z22" s="16">
        <f>'F2'!Z4</f>
        <v>0</v>
      </c>
      <c r="AA22" s="11">
        <f>'F2'!AA4</f>
        <v>0.78900000000000026</v>
      </c>
      <c r="AB22" s="15">
        <f>'F2'!AB4</f>
        <v>0</v>
      </c>
      <c r="AC22" s="13">
        <f>'F2'!AC4</f>
        <v>0</v>
      </c>
      <c r="AD22" s="13">
        <f>'F2'!AD4</f>
        <v>0</v>
      </c>
      <c r="AE22" s="13">
        <f>'F2'!AE4</f>
        <v>0</v>
      </c>
      <c r="AF22" s="14">
        <f>'F2'!AF4</f>
        <v>0</v>
      </c>
    </row>
    <row r="23" spans="1:32" ht="24" customHeight="1" x14ac:dyDescent="0.25">
      <c r="A23" s="13" t="str">
        <f>'F2'!A5</f>
        <v>DOE_Lote_2</v>
      </c>
      <c r="B23" s="13" t="str">
        <f>'F2'!B5</f>
        <v>F2</v>
      </c>
      <c r="C23" s="14" t="str">
        <f>'F2'!C5</f>
        <v>synthetic_lit_SM410_24C_highN_strip</v>
      </c>
      <c r="D23" s="13" t="str">
        <f>'F2'!D5</f>
        <v>DOE-LAB005-4</v>
      </c>
      <c r="E23" s="13">
        <f>'F2'!E5</f>
        <v>4</v>
      </c>
      <c r="F23" s="15">
        <f>'F2'!F5</f>
        <v>0</v>
      </c>
      <c r="G23" s="16">
        <f>'F2'!G5</f>
        <v>0</v>
      </c>
      <c r="H23" s="13" t="str">
        <f>'F2'!H5</f>
        <v>pending_manual_entry</v>
      </c>
      <c r="I23" s="13" t="b">
        <f>'F2'!I5</f>
        <v>1</v>
      </c>
      <c r="J23" s="15">
        <f>'F2'!J5</f>
        <v>46210.368993055563</v>
      </c>
      <c r="K23" s="15">
        <f>'F2'!K5</f>
        <v>46210.382361111107</v>
      </c>
      <c r="L23" s="13" t="str">
        <f>'F2'!L5</f>
        <v>ONLINE(26-07-07 08-26)_1.txt</v>
      </c>
      <c r="M23" s="16">
        <f>'F2'!M5</f>
        <v>91.05</v>
      </c>
      <c r="N23" s="11">
        <f>'F2'!N5</f>
        <v>110.86999999999999</v>
      </c>
      <c r="O23" s="16">
        <f>'F2'!O5</f>
        <v>201.92</v>
      </c>
      <c r="P23" s="16">
        <f>'F2'!P5</f>
        <v>180</v>
      </c>
      <c r="Q23" s="16">
        <f>'F2'!Q5</f>
        <v>60</v>
      </c>
      <c r="R23" s="11">
        <f>'F2'!R5</f>
        <v>240</v>
      </c>
      <c r="S23" s="16">
        <f>'F2'!S5</f>
        <v>1.31</v>
      </c>
      <c r="T23" s="16">
        <f>'F2'!T5</f>
        <v>0.31</v>
      </c>
      <c r="U23" s="16">
        <f>'F2'!U5</f>
        <v>44</v>
      </c>
      <c r="V23" s="16">
        <f>'F2'!V5</f>
        <v>74</v>
      </c>
      <c r="W23" s="16">
        <f>'F2'!W5</f>
        <v>0.93</v>
      </c>
      <c r="X23" s="16">
        <f>'F2'!X5</f>
        <v>0</v>
      </c>
      <c r="Y23" s="11">
        <f>'F2'!Y5</f>
        <v>0.63000000000000012</v>
      </c>
      <c r="Z23" s="16">
        <f>'F2'!Z5</f>
        <v>0</v>
      </c>
      <c r="AA23" s="11">
        <f>'F2'!AA5</f>
        <v>4.9707000000000008</v>
      </c>
      <c r="AB23" s="15">
        <f>'F2'!AB5</f>
        <v>0</v>
      </c>
      <c r="AC23" s="13">
        <f>'F2'!AC5</f>
        <v>0</v>
      </c>
      <c r="AD23" s="13">
        <f>'F2'!AD5</f>
        <v>0</v>
      </c>
      <c r="AE23" s="13">
        <f>'F2'!AE5</f>
        <v>0</v>
      </c>
      <c r="AF23" s="14">
        <f>'F2'!AF5</f>
        <v>0</v>
      </c>
    </row>
    <row r="24" spans="1:32" ht="24" customHeight="1" x14ac:dyDescent="0.25">
      <c r="A24" s="13" t="str">
        <f>'F2'!A6</f>
        <v>DOE_Lote_2</v>
      </c>
      <c r="B24" s="13" t="str">
        <f>'F2'!B6</f>
        <v>F2</v>
      </c>
      <c r="C24" s="14" t="str">
        <f>'F2'!C6</f>
        <v>synthetic_lit_SM410_24C_highN_strip</v>
      </c>
      <c r="D24" s="13" t="str">
        <f>'F2'!D6</f>
        <v>DOE-LAB005-5</v>
      </c>
      <c r="E24" s="13">
        <f>'F2'!E6</f>
        <v>5</v>
      </c>
      <c r="F24" s="15">
        <f>'F2'!F6</f>
        <v>0</v>
      </c>
      <c r="G24" s="16">
        <f>'F2'!G6</f>
        <v>0</v>
      </c>
      <c r="H24" s="13" t="str">
        <f>'F2'!H6</f>
        <v>pending_manual_entry</v>
      </c>
      <c r="I24" s="13" t="b">
        <f>'F2'!I6</f>
        <v>1</v>
      </c>
      <c r="J24" s="15">
        <f>'F2'!J6</f>
        <v>46210.528460648151</v>
      </c>
      <c r="K24" s="15">
        <f>'F2'!K6</f>
        <v>46210.557662037027</v>
      </c>
      <c r="L24" s="13" t="str">
        <f>'F2'!L6</f>
        <v>ONLINE(26-07-07 08-26)_1.txt</v>
      </c>
      <c r="M24" s="16">
        <f>'F2'!M6</f>
        <v>85.76</v>
      </c>
      <c r="N24" s="11">
        <f>'F2'!N6</f>
        <v>112.27999999999999</v>
      </c>
      <c r="O24" s="16">
        <f>'F2'!O6</f>
        <v>198.04</v>
      </c>
      <c r="P24" s="16">
        <f>'F2'!P6</f>
        <v>169</v>
      </c>
      <c r="Q24" s="16">
        <f>'F2'!Q6</f>
        <v>56</v>
      </c>
      <c r="R24" s="11">
        <f>'F2'!R6</f>
        <v>225</v>
      </c>
      <c r="S24" s="16">
        <f>'F2'!S6</f>
        <v>1.22</v>
      </c>
      <c r="T24" s="16">
        <f>'F2'!T6</f>
        <v>0.32</v>
      </c>
      <c r="U24" s="16">
        <f>'F2'!U6</f>
        <v>60</v>
      </c>
      <c r="V24" s="16">
        <f>'F2'!V6</f>
        <v>95</v>
      </c>
      <c r="W24" s="16">
        <f>'F2'!W6</f>
        <v>0</v>
      </c>
      <c r="X24" s="16">
        <f>'F2'!X6</f>
        <v>0</v>
      </c>
      <c r="Y24" s="11">
        <f>'F2'!Y6</f>
        <v>0</v>
      </c>
      <c r="Z24" s="16">
        <f>'F2'!Z6</f>
        <v>0</v>
      </c>
      <c r="AA24" s="11" t="str">
        <f>'F2'!AA6</f>
        <v/>
      </c>
      <c r="AB24" s="15">
        <f>'F2'!AB6</f>
        <v>0</v>
      </c>
      <c r="AC24" s="13">
        <f>'F2'!AC6</f>
        <v>0</v>
      </c>
      <c r="AD24" s="13">
        <f>'F2'!AD6</f>
        <v>0</v>
      </c>
      <c r="AE24" s="13">
        <f>'F2'!AE6</f>
        <v>0</v>
      </c>
      <c r="AF24" s="14">
        <f>'F2'!AF6</f>
        <v>0</v>
      </c>
    </row>
    <row r="25" spans="1:32" ht="24" customHeight="1" x14ac:dyDescent="0.25">
      <c r="A25" s="13" t="str">
        <f>'F2'!A7</f>
        <v>DOE_Lote_2</v>
      </c>
      <c r="B25" s="13" t="str">
        <f>'F2'!B7</f>
        <v>F2</v>
      </c>
      <c r="C25" s="14" t="str">
        <f>'F2'!C7</f>
        <v>synthetic_lit_SM410_24C_highN_strip</v>
      </c>
      <c r="D25" s="13" t="str">
        <f>'F2'!D7</f>
        <v>DOE-LAB005-6</v>
      </c>
      <c r="E25" s="13">
        <f>'F2'!E7</f>
        <v>6</v>
      </c>
      <c r="F25" s="15">
        <f>'F2'!F7</f>
        <v>0</v>
      </c>
      <c r="G25" s="16">
        <f>'F2'!G7</f>
        <v>0</v>
      </c>
      <c r="H25" s="13" t="str">
        <f>'F2'!H7</f>
        <v>pending_manual_entry</v>
      </c>
      <c r="I25" s="13" t="b">
        <f>'F2'!I7</f>
        <v>1</v>
      </c>
      <c r="J25" s="15">
        <f>'F2'!J7</f>
        <v>46210.633530092593</v>
      </c>
      <c r="K25" s="15">
        <f>'F2'!K7</f>
        <v>46210.649421296293</v>
      </c>
      <c r="L25" s="13" t="str">
        <f>'F2'!L7</f>
        <v>ONLINE(26-07-07 08-26)_1.txt</v>
      </c>
      <c r="M25" s="16">
        <f>'F2'!M7</f>
        <v>85.54</v>
      </c>
      <c r="N25" s="11">
        <f>'F2'!N7</f>
        <v>109.92</v>
      </c>
      <c r="O25" s="16">
        <f>'F2'!O7</f>
        <v>195.46</v>
      </c>
      <c r="P25" s="16">
        <f>'F2'!P7</f>
        <v>162</v>
      </c>
      <c r="Q25" s="16">
        <f>'F2'!Q7</f>
        <v>55</v>
      </c>
      <c r="R25" s="11">
        <f>'F2'!R7</f>
        <v>217</v>
      </c>
      <c r="S25" s="16">
        <f>'F2'!S7</f>
        <v>1.51</v>
      </c>
      <c r="T25" s="16">
        <f>'F2'!T7</f>
        <v>0.4</v>
      </c>
      <c r="U25" s="16">
        <f>'F2'!U7</f>
        <v>66</v>
      </c>
      <c r="V25" s="16">
        <f>'F2'!V7</f>
        <v>106</v>
      </c>
      <c r="W25" s="16">
        <f>'F2'!W7</f>
        <v>0</v>
      </c>
      <c r="X25" s="16">
        <f>'F2'!X7</f>
        <v>0</v>
      </c>
      <c r="Y25" s="11">
        <f>'F2'!Y7</f>
        <v>0</v>
      </c>
      <c r="Z25" s="16">
        <f>'F2'!Z7</f>
        <v>0</v>
      </c>
      <c r="AA25" s="11" t="str">
        <f>'F2'!AA7</f>
        <v/>
      </c>
      <c r="AB25" s="15">
        <f>'F2'!AB7</f>
        <v>0</v>
      </c>
      <c r="AC25" s="13">
        <f>'F2'!AC7</f>
        <v>0</v>
      </c>
      <c r="AD25" s="13">
        <f>'F2'!AD7</f>
        <v>0</v>
      </c>
      <c r="AE25" s="13">
        <f>'F2'!AE7</f>
        <v>0</v>
      </c>
      <c r="AF25" s="14">
        <f>'F2'!AF7</f>
        <v>0</v>
      </c>
    </row>
    <row r="26" spans="1:32" ht="24" customHeight="1" x14ac:dyDescent="0.25">
      <c r="A26" s="13" t="str">
        <f>'F2'!A8</f>
        <v>DOE_Lote_2</v>
      </c>
      <c r="B26" s="13" t="str">
        <f>'F2'!B8</f>
        <v>F2</v>
      </c>
      <c r="C26" s="14" t="str">
        <f>'F2'!C8</f>
        <v>synthetic_lit_SM410_24C_highN_strip</v>
      </c>
      <c r="D26" s="13" t="str">
        <f>'F2'!D8</f>
        <v>DOE-LAB005-7</v>
      </c>
      <c r="E26" s="13">
        <f>'F2'!E8</f>
        <v>7</v>
      </c>
      <c r="F26" s="15">
        <f>'F2'!F8</f>
        <v>0</v>
      </c>
      <c r="G26" s="16">
        <f>'F2'!G8</f>
        <v>0</v>
      </c>
      <c r="H26" s="13" t="str">
        <f>'F2'!H8</f>
        <v>pending_manual_entry</v>
      </c>
      <c r="I26" s="13" t="b">
        <f>'F2'!I8</f>
        <v>0</v>
      </c>
      <c r="J26" s="15">
        <f>'F2'!J8</f>
        <v>0</v>
      </c>
      <c r="K26" s="15">
        <f>'F2'!K8</f>
        <v>0</v>
      </c>
      <c r="L26" s="13">
        <f>'F2'!L8</f>
        <v>0</v>
      </c>
      <c r="M26" s="16">
        <f>'F2'!M8</f>
        <v>0</v>
      </c>
      <c r="N26" s="11" t="str">
        <f>'F2'!N8</f>
        <v/>
      </c>
      <c r="O26" s="16">
        <f>'F2'!O8</f>
        <v>0</v>
      </c>
      <c r="P26" s="16">
        <f>'F2'!P8</f>
        <v>0</v>
      </c>
      <c r="Q26" s="16">
        <f>'F2'!Q8</f>
        <v>0</v>
      </c>
      <c r="R26" s="11" t="str">
        <f>'F2'!R8</f>
        <v/>
      </c>
      <c r="S26" s="16">
        <f>'F2'!S8</f>
        <v>0</v>
      </c>
      <c r="T26" s="16">
        <f>'F2'!T8</f>
        <v>0</v>
      </c>
      <c r="U26" s="16">
        <f>'F2'!U8</f>
        <v>0</v>
      </c>
      <c r="V26" s="16">
        <f>'F2'!V8</f>
        <v>0</v>
      </c>
      <c r="W26" s="16">
        <f>'F2'!W8</f>
        <v>1.46</v>
      </c>
      <c r="X26" s="16">
        <f>'F2'!X8</f>
        <v>0</v>
      </c>
      <c r="Y26" s="11">
        <f>'F2'!Y8</f>
        <v>1.1599999999999999</v>
      </c>
      <c r="Z26" s="16">
        <f>'F2'!Z8</f>
        <v>0</v>
      </c>
      <c r="AA26" s="11">
        <f>'F2'!AA8</f>
        <v>9.1523999999999983</v>
      </c>
      <c r="AB26" s="15">
        <f>'F2'!AB8</f>
        <v>0</v>
      </c>
      <c r="AC26" s="13">
        <f>'F2'!AC8</f>
        <v>0</v>
      </c>
      <c r="AD26" s="13">
        <f>'F2'!AD8</f>
        <v>0</v>
      </c>
      <c r="AE26" s="13">
        <f>'F2'!AE8</f>
        <v>0</v>
      </c>
      <c r="AF26" s="14">
        <f>'F2'!AF8</f>
        <v>0</v>
      </c>
    </row>
    <row r="27" spans="1:32" ht="24" customHeight="1" x14ac:dyDescent="0.25">
      <c r="A27" s="13" t="str">
        <f>'F2'!A9</f>
        <v>DOE_Lote_2</v>
      </c>
      <c r="B27" s="13" t="str">
        <f>'F2'!B9</f>
        <v>F2</v>
      </c>
      <c r="C27" s="14" t="str">
        <f>'F2'!C9</f>
        <v>synthetic_lit_SM410_24C_highN_strip</v>
      </c>
      <c r="D27" s="13" t="str">
        <f>'F2'!D9</f>
        <v>DOE-LAB005-8</v>
      </c>
      <c r="E27" s="13">
        <f>'F2'!E9</f>
        <v>8</v>
      </c>
      <c r="F27" s="15">
        <f>'F2'!F9</f>
        <v>0</v>
      </c>
      <c r="G27" s="16">
        <f>'F2'!G9</f>
        <v>0</v>
      </c>
      <c r="H27" s="13" t="str">
        <f>'F2'!H9</f>
        <v>pending_manual_entry</v>
      </c>
      <c r="I27" s="13" t="b">
        <f>'F2'!I9</f>
        <v>1</v>
      </c>
      <c r="J27" s="15">
        <f>'F2'!J9</f>
        <v>46211.430347222216</v>
      </c>
      <c r="K27" s="15">
        <f>'F2'!K9</f>
        <v>46211.442314814813</v>
      </c>
      <c r="L27" s="13" t="str">
        <f>'F2'!L9</f>
        <v>ONLINE(26-07-08 09-58)_1.txt</v>
      </c>
      <c r="M27" s="16">
        <f>'F2'!M9</f>
        <v>64.86</v>
      </c>
      <c r="N27" s="11">
        <f>'F2'!N9</f>
        <v>94.29</v>
      </c>
      <c r="O27" s="16">
        <f>'F2'!O9</f>
        <v>159.15</v>
      </c>
      <c r="P27" s="16">
        <f>'F2'!P9</f>
        <v>31</v>
      </c>
      <c r="Q27" s="16">
        <f>'F2'!Q9</f>
        <v>41</v>
      </c>
      <c r="R27" s="11">
        <f>'F2'!R9</f>
        <v>72</v>
      </c>
      <c r="S27" s="16">
        <f>'F2'!S9</f>
        <v>3.78</v>
      </c>
      <c r="T27" s="16">
        <f>'F2'!T9</f>
        <v>0.53</v>
      </c>
      <c r="U27" s="16">
        <f>'F2'!U9</f>
        <v>106</v>
      </c>
      <c r="V27" s="16">
        <f>'F2'!V9</f>
        <v>163</v>
      </c>
      <c r="W27" s="16">
        <f>'F2'!W9</f>
        <v>3.27</v>
      </c>
      <c r="X27" s="16">
        <f>'F2'!X9</f>
        <v>0</v>
      </c>
      <c r="Y27" s="11">
        <f>'F2'!Y9</f>
        <v>2.97</v>
      </c>
      <c r="Z27" s="16">
        <f>'F2'!Z9</f>
        <v>0</v>
      </c>
      <c r="AA27" s="11">
        <f>'F2'!AA9</f>
        <v>23.433299999999999</v>
      </c>
      <c r="AB27" s="15">
        <f>'F2'!AB9</f>
        <v>0</v>
      </c>
      <c r="AC27" s="13">
        <f>'F2'!AC9</f>
        <v>0</v>
      </c>
      <c r="AD27" s="13">
        <f>'F2'!AD9</f>
        <v>0</v>
      </c>
      <c r="AE27" s="13">
        <f>'F2'!AE9</f>
        <v>0</v>
      </c>
      <c r="AF27" s="14">
        <f>'F2'!AF9</f>
        <v>0</v>
      </c>
    </row>
    <row r="28" spans="1:32" ht="24" customHeight="1" x14ac:dyDescent="0.25">
      <c r="A28" s="13" t="str">
        <f>'F2'!A10</f>
        <v>DOE_Lote_2</v>
      </c>
      <c r="B28" s="13" t="str">
        <f>'F2'!B10</f>
        <v>F2</v>
      </c>
      <c r="C28" s="14" t="str">
        <f>'F2'!C10</f>
        <v>synthetic_lit_SM410_24C_highN_strip</v>
      </c>
      <c r="D28" s="13" t="str">
        <f>'F2'!D10</f>
        <v>DOE-LAB005-9</v>
      </c>
      <c r="E28" s="13">
        <f>'F2'!E10</f>
        <v>9</v>
      </c>
      <c r="F28" s="15">
        <f>'F2'!F10</f>
        <v>0</v>
      </c>
      <c r="G28" s="16">
        <f>'F2'!G10</f>
        <v>0</v>
      </c>
      <c r="H28" s="13" t="str">
        <f>'F2'!H10</f>
        <v>pending_manual_entry</v>
      </c>
      <c r="I28" s="13" t="b">
        <f>'F2'!I10</f>
        <v>1</v>
      </c>
      <c r="J28" s="15">
        <f>'F2'!J10</f>
        <v>46211.621087962973</v>
      </c>
      <c r="K28" s="15">
        <f>'F2'!K10</f>
        <v>46211.638888888891</v>
      </c>
      <c r="L28" s="13" t="str">
        <f>'F2'!L10</f>
        <v>ONLINE(26-07-08 09-58)_1.txt</v>
      </c>
      <c r="M28" s="16">
        <f>'F2'!M10</f>
        <v>57.91</v>
      </c>
      <c r="N28" s="11">
        <f>'F2'!N10</f>
        <v>86.41</v>
      </c>
      <c r="O28" s="16">
        <f>'F2'!O10</f>
        <v>144.32</v>
      </c>
      <c r="P28" s="16">
        <f>'F2'!P10</f>
        <v>12</v>
      </c>
      <c r="Q28" s="16">
        <f>'F2'!Q10</f>
        <v>39</v>
      </c>
      <c r="R28" s="11">
        <f>'F2'!R10</f>
        <v>51</v>
      </c>
      <c r="S28" s="16">
        <f>'F2'!S10</f>
        <v>3.75</v>
      </c>
      <c r="T28" s="16">
        <f>'F2'!T10</f>
        <v>0.53</v>
      </c>
      <c r="U28" s="16">
        <f>'F2'!U10</f>
        <v>95</v>
      </c>
      <c r="V28" s="16">
        <f>'F2'!V10</f>
        <v>187</v>
      </c>
      <c r="W28" s="16">
        <f>'F2'!W10</f>
        <v>0</v>
      </c>
      <c r="X28" s="16">
        <f>'F2'!X10</f>
        <v>0</v>
      </c>
      <c r="Y28" s="11">
        <f>'F2'!Y10</f>
        <v>0</v>
      </c>
      <c r="Z28" s="16">
        <f>'F2'!Z10</f>
        <v>0</v>
      </c>
      <c r="AA28" s="11" t="str">
        <f>'F2'!AA10</f>
        <v/>
      </c>
      <c r="AB28" s="15">
        <f>'F2'!AB10</f>
        <v>0</v>
      </c>
      <c r="AC28" s="13">
        <f>'F2'!AC10</f>
        <v>0</v>
      </c>
      <c r="AD28" s="13">
        <f>'F2'!AD10</f>
        <v>0</v>
      </c>
      <c r="AE28" s="13">
        <f>'F2'!AE10</f>
        <v>0</v>
      </c>
      <c r="AF28" s="14">
        <f>'F2'!AF10</f>
        <v>0</v>
      </c>
    </row>
    <row r="29" spans="1:32" ht="24" customHeight="1" x14ac:dyDescent="0.25">
      <c r="A29" s="13" t="str">
        <f>'F2'!A11</f>
        <v>DOE_Lote_2</v>
      </c>
      <c r="B29" s="13" t="str">
        <f>'F2'!B11</f>
        <v>F2</v>
      </c>
      <c r="C29" s="14" t="str">
        <f>'F2'!C11</f>
        <v>synthetic_lit_SM410_24C_highN_strip</v>
      </c>
      <c r="D29" s="13" t="str">
        <f>'F2'!D11</f>
        <v>DOE-LAB005-10</v>
      </c>
      <c r="E29" s="13">
        <f>'F2'!E11</f>
        <v>10</v>
      </c>
      <c r="F29" s="15">
        <f>'F2'!F11</f>
        <v>0</v>
      </c>
      <c r="G29" s="16">
        <f>'F2'!G11</f>
        <v>0</v>
      </c>
      <c r="H29" s="13" t="str">
        <f>'F2'!H11</f>
        <v>pending_manual_entry</v>
      </c>
      <c r="I29" s="13" t="b">
        <f>'F2'!I11</f>
        <v>1</v>
      </c>
      <c r="J29" s="15">
        <f>'F2'!J11</f>
        <v>46211.692523148151</v>
      </c>
      <c r="K29" s="15">
        <f>'F2'!K11</f>
        <v>46211.706990740742</v>
      </c>
      <c r="L29" s="13" t="str">
        <f>'F2'!L11</f>
        <v>ONLINE(26-07-08 09-58)_1.txt</v>
      </c>
      <c r="M29" s="16">
        <f>'F2'!M11</f>
        <v>55.24</v>
      </c>
      <c r="N29" s="11">
        <f>'F2'!N11</f>
        <v>86.859999999999985</v>
      </c>
      <c r="O29" s="16">
        <f>'F2'!O11</f>
        <v>142.1</v>
      </c>
      <c r="P29" s="16">
        <f>'F2'!P11</f>
        <v>11</v>
      </c>
      <c r="Q29" s="16">
        <f>'F2'!Q11</f>
        <v>40</v>
      </c>
      <c r="R29" s="11">
        <f>'F2'!R11</f>
        <v>51</v>
      </c>
      <c r="S29" s="16">
        <f>'F2'!S11</f>
        <v>0</v>
      </c>
      <c r="T29" s="16">
        <f>'F2'!T11</f>
        <v>0.59</v>
      </c>
      <c r="U29" s="16">
        <f>'F2'!U11</f>
        <v>92</v>
      </c>
      <c r="V29" s="16">
        <f>'F2'!V11</f>
        <v>153</v>
      </c>
      <c r="W29" s="16">
        <f>'F2'!W11</f>
        <v>4.01</v>
      </c>
      <c r="X29" s="16">
        <f>'F2'!X11</f>
        <v>0</v>
      </c>
      <c r="Y29" s="11">
        <f>'F2'!Y11</f>
        <v>3.71</v>
      </c>
      <c r="Z29" s="16">
        <f>'F2'!Z11</f>
        <v>0</v>
      </c>
      <c r="AA29" s="11">
        <f>'F2'!AA11</f>
        <v>29.271899999999999</v>
      </c>
      <c r="AB29" s="15">
        <f>'F2'!AB11</f>
        <v>0</v>
      </c>
      <c r="AC29" s="13">
        <f>'F2'!AC11</f>
        <v>0</v>
      </c>
      <c r="AD29" s="13">
        <f>'F2'!AD11</f>
        <v>0</v>
      </c>
      <c r="AE29" s="13">
        <f>'F2'!AE11</f>
        <v>0</v>
      </c>
      <c r="AF29" s="14">
        <f>'F2'!AF11</f>
        <v>0</v>
      </c>
    </row>
    <row r="30" spans="1:32" ht="24" customHeight="1" x14ac:dyDescent="0.25">
      <c r="A30" s="13" t="str">
        <f>'F2'!A12</f>
        <v>DOE_Lote_2</v>
      </c>
      <c r="B30" s="13" t="str">
        <f>'F2'!B12</f>
        <v>F2</v>
      </c>
      <c r="C30" s="14" t="str">
        <f>'F2'!C12</f>
        <v>synthetic_lit_SM410_24C_highN_strip</v>
      </c>
      <c r="D30" s="13" t="str">
        <f>'F2'!D12</f>
        <v>DOE-LAB005-11</v>
      </c>
      <c r="E30" s="13">
        <f>'F2'!E12</f>
        <v>11</v>
      </c>
      <c r="F30" s="15">
        <f>'F2'!F12</f>
        <v>0</v>
      </c>
      <c r="G30" s="16">
        <f>'F2'!G12</f>
        <v>0</v>
      </c>
      <c r="H30" s="13" t="str">
        <f>'F2'!H12</f>
        <v>pending_manual_entry</v>
      </c>
      <c r="I30" s="13" t="b">
        <f>'F2'!I12</f>
        <v>1</v>
      </c>
      <c r="J30" s="15">
        <f>'F2'!J12</f>
        <v>46212.437881944446</v>
      </c>
      <c r="K30" s="15">
        <f>'F2'!K12</f>
        <v>46212.453182870369</v>
      </c>
      <c r="L30" s="13" t="str">
        <f>'F2'!L12</f>
        <v>ONLINE(26-07-09 10-09)_1.txt</v>
      </c>
      <c r="M30" s="16">
        <f>'F2'!M12</f>
        <v>37.479999999999997</v>
      </c>
      <c r="N30" s="11">
        <f>'F2'!N12</f>
        <v>72.59</v>
      </c>
      <c r="O30" s="16">
        <f>'F2'!O12</f>
        <v>110.07</v>
      </c>
      <c r="P30" s="16">
        <f>'F2'!P12</f>
        <v>-2</v>
      </c>
      <c r="Q30" s="16">
        <f>'F2'!Q12</f>
        <v>26</v>
      </c>
      <c r="R30" s="11">
        <f>'F2'!R12</f>
        <v>24</v>
      </c>
      <c r="S30" s="16">
        <f>'F2'!S12</f>
        <v>5.39</v>
      </c>
      <c r="T30" s="16">
        <f>'F2'!T12</f>
        <v>0.67</v>
      </c>
      <c r="U30" s="16">
        <f>'F2'!U12</f>
        <v>76</v>
      </c>
      <c r="V30" s="16">
        <f>'F2'!V12</f>
        <v>80</v>
      </c>
      <c r="W30" s="16">
        <f>'F2'!W12</f>
        <v>5.99</v>
      </c>
      <c r="X30" s="16">
        <f>'F2'!X12</f>
        <v>0</v>
      </c>
      <c r="Y30" s="11">
        <f>'F2'!Y12</f>
        <v>5.69</v>
      </c>
      <c r="Z30" s="16">
        <f>'F2'!Z12</f>
        <v>0</v>
      </c>
      <c r="AA30" s="11">
        <f>'F2'!AA12</f>
        <v>44.894100000000002</v>
      </c>
      <c r="AB30" s="15">
        <f>'F2'!AB12</f>
        <v>0</v>
      </c>
      <c r="AC30" s="13">
        <f>'F2'!AC12</f>
        <v>0</v>
      </c>
      <c r="AD30" s="13">
        <f>'F2'!AD12</f>
        <v>0</v>
      </c>
      <c r="AE30" s="13">
        <f>'F2'!AE12</f>
        <v>0</v>
      </c>
      <c r="AF30" s="14">
        <f>'F2'!AF12</f>
        <v>0</v>
      </c>
    </row>
    <row r="31" spans="1:32" ht="24" customHeight="1" x14ac:dyDescent="0.25">
      <c r="A31" s="13" t="str">
        <f>'F2'!A13</f>
        <v>DOE_Lote_2</v>
      </c>
      <c r="B31" s="13" t="str">
        <f>'F2'!B13</f>
        <v>F2</v>
      </c>
      <c r="C31" s="14" t="str">
        <f>'F2'!C13</f>
        <v>synthetic_lit_SM410_24C_highN_strip</v>
      </c>
      <c r="D31" s="13" t="str">
        <f>'F2'!D13</f>
        <v>DOE-LAB005-12</v>
      </c>
      <c r="E31" s="13">
        <f>'F2'!E13</f>
        <v>12</v>
      </c>
      <c r="F31" s="15">
        <f>'F2'!F13</f>
        <v>0</v>
      </c>
      <c r="G31" s="16">
        <f>'F2'!G13</f>
        <v>0</v>
      </c>
      <c r="H31" s="13" t="str">
        <f>'F2'!H13</f>
        <v>pending_manual_entry</v>
      </c>
      <c r="I31" s="13" t="b">
        <f>'F2'!I13</f>
        <v>1</v>
      </c>
      <c r="J31" s="15">
        <f>'F2'!J13</f>
        <v>46212.532384259262</v>
      </c>
      <c r="K31" s="15">
        <f>'F2'!K13</f>
        <v>46212.544085648151</v>
      </c>
      <c r="L31" s="13" t="str">
        <f>'F2'!L13</f>
        <v>ONLINE(26-07-09 10-09)_1.txt</v>
      </c>
      <c r="M31" s="16">
        <f>'F2'!M13</f>
        <v>38.950000000000003</v>
      </c>
      <c r="N31" s="11">
        <f>'F2'!N13</f>
        <v>70.42</v>
      </c>
      <c r="O31" s="16">
        <f>'F2'!O13</f>
        <v>109.37</v>
      </c>
      <c r="P31" s="16">
        <f>'F2'!P13</f>
        <v>4</v>
      </c>
      <c r="Q31" s="16">
        <f>'F2'!Q13</f>
        <v>31</v>
      </c>
      <c r="R31" s="11">
        <f>'F2'!R13</f>
        <v>35</v>
      </c>
      <c r="S31" s="16">
        <f>'F2'!S13</f>
        <v>5.55</v>
      </c>
      <c r="T31" s="16">
        <f>'F2'!T13</f>
        <v>0.7</v>
      </c>
      <c r="U31" s="16">
        <f>'F2'!U13</f>
        <v>70</v>
      </c>
      <c r="V31" s="16">
        <f>'F2'!V13</f>
        <v>143</v>
      </c>
      <c r="W31" s="16">
        <f>'F2'!W13</f>
        <v>0</v>
      </c>
      <c r="X31" s="16">
        <f>'F2'!X13</f>
        <v>0</v>
      </c>
      <c r="Y31" s="11">
        <f>'F2'!Y13</f>
        <v>0</v>
      </c>
      <c r="Z31" s="16">
        <f>'F2'!Z13</f>
        <v>0</v>
      </c>
      <c r="AA31" s="11" t="str">
        <f>'F2'!AA13</f>
        <v/>
      </c>
      <c r="AB31" s="15">
        <f>'F2'!AB13</f>
        <v>0</v>
      </c>
      <c r="AC31" s="13">
        <f>'F2'!AC13</f>
        <v>0</v>
      </c>
      <c r="AD31" s="13">
        <f>'F2'!AD13</f>
        <v>0</v>
      </c>
      <c r="AE31" s="13">
        <f>'F2'!AE13</f>
        <v>0</v>
      </c>
      <c r="AF31" s="14">
        <f>'F2'!AF13</f>
        <v>0</v>
      </c>
    </row>
    <row r="32" spans="1:32" ht="24" customHeight="1" x14ac:dyDescent="0.25">
      <c r="A32" s="13" t="str">
        <f>'F2'!A14</f>
        <v>DOE_Lote_2</v>
      </c>
      <c r="B32" s="13" t="str">
        <f>'F2'!B14</f>
        <v>F2</v>
      </c>
      <c r="C32" s="14" t="str">
        <f>'F2'!C14</f>
        <v>synthetic_lit_SM410_24C_highN_strip</v>
      </c>
      <c r="D32" s="13" t="str">
        <f>'F2'!D14</f>
        <v>DOE-LAB005-13</v>
      </c>
      <c r="E32" s="13">
        <f>'F2'!E14</f>
        <v>13</v>
      </c>
      <c r="F32" s="15">
        <f>'F2'!F14</f>
        <v>0</v>
      </c>
      <c r="G32" s="16">
        <f>'F2'!G14</f>
        <v>0</v>
      </c>
      <c r="H32" s="13" t="str">
        <f>'F2'!H14</f>
        <v>pending_manual_entry</v>
      </c>
      <c r="I32" s="13" t="b">
        <f>'F2'!I14</f>
        <v>1</v>
      </c>
      <c r="J32" s="15">
        <f>'F2'!J14</f>
        <v>46212.713576388887</v>
      </c>
      <c r="K32" s="15">
        <f>'F2'!K14</f>
        <v>46212.747604166667</v>
      </c>
      <c r="L32" s="13" t="str">
        <f>'F2'!L14</f>
        <v>ONLINE(26-07-09 10-09)_1.txt</v>
      </c>
      <c r="M32" s="16">
        <f>'F2'!M14</f>
        <v>32.44</v>
      </c>
      <c r="N32" s="11">
        <f>'F2'!N14</f>
        <v>69.95</v>
      </c>
      <c r="O32" s="16">
        <f>'F2'!O14</f>
        <v>102.39</v>
      </c>
      <c r="P32" s="16">
        <f>'F2'!P14</f>
        <v>0</v>
      </c>
      <c r="Q32" s="16">
        <f>'F2'!Q14</f>
        <v>29</v>
      </c>
      <c r="R32" s="11">
        <f>'F2'!R14</f>
        <v>29</v>
      </c>
      <c r="S32" s="16">
        <f>'F2'!S14</f>
        <v>5.68</v>
      </c>
      <c r="T32" s="16">
        <f>'F2'!T14</f>
        <v>0.77</v>
      </c>
      <c r="U32" s="16">
        <f>'F2'!U14</f>
        <v>57</v>
      </c>
      <c r="V32" s="16">
        <f>'F2'!V14</f>
        <v>77</v>
      </c>
      <c r="W32" s="16">
        <f>'F2'!W14</f>
        <v>6.69</v>
      </c>
      <c r="X32" s="16">
        <f>'F2'!X14</f>
        <v>0</v>
      </c>
      <c r="Y32" s="11">
        <f>'F2'!Y14</f>
        <v>6.3900000000000006</v>
      </c>
      <c r="Z32" s="16">
        <f>'F2'!Z14</f>
        <v>0</v>
      </c>
      <c r="AA32" s="11">
        <f>'F2'!AA14</f>
        <v>50.417100000000005</v>
      </c>
      <c r="AB32" s="15">
        <f>'F2'!AB14</f>
        <v>0</v>
      </c>
      <c r="AC32" s="13">
        <f>'F2'!AC14</f>
        <v>0</v>
      </c>
      <c r="AD32" s="13">
        <f>'F2'!AD14</f>
        <v>0</v>
      </c>
      <c r="AE32" s="13">
        <f>'F2'!AE14</f>
        <v>0</v>
      </c>
      <c r="AF32" s="14">
        <f>'F2'!AF14</f>
        <v>0</v>
      </c>
    </row>
    <row r="33" spans="1:32" ht="24" customHeight="1" x14ac:dyDescent="0.25">
      <c r="A33" s="13" t="str">
        <f>'F2'!A15</f>
        <v>DOE_Lote_2</v>
      </c>
      <c r="B33" s="13" t="str">
        <f>'F2'!B15</f>
        <v>F2</v>
      </c>
      <c r="C33" s="14" t="str">
        <f>'F2'!C15</f>
        <v>synthetic_lit_SM410_24C_highN_strip</v>
      </c>
      <c r="D33" s="13" t="str">
        <f>'F2'!D15</f>
        <v>DOE-LAB005-14</v>
      </c>
      <c r="E33" s="13">
        <f>'F2'!E15</f>
        <v>14</v>
      </c>
      <c r="F33" s="15">
        <f>'F2'!F15</f>
        <v>0</v>
      </c>
      <c r="G33" s="16">
        <f>'F2'!G15</f>
        <v>0</v>
      </c>
      <c r="H33" s="13" t="str">
        <f>'F2'!H15</f>
        <v>pending_manual_entry</v>
      </c>
      <c r="I33" s="13" t="b">
        <f>'F2'!I15</f>
        <v>0</v>
      </c>
      <c r="J33" s="15">
        <f>'F2'!J15</f>
        <v>0</v>
      </c>
      <c r="K33" s="15">
        <f>'F2'!K15</f>
        <v>0</v>
      </c>
      <c r="L33" s="13">
        <f>'F2'!L15</f>
        <v>0</v>
      </c>
      <c r="M33" s="16">
        <f>'F2'!M15</f>
        <v>0</v>
      </c>
      <c r="N33" s="11" t="str">
        <f>'F2'!N15</f>
        <v/>
      </c>
      <c r="O33" s="16">
        <f>'F2'!O15</f>
        <v>0</v>
      </c>
      <c r="P33" s="16">
        <f>'F2'!P15</f>
        <v>0</v>
      </c>
      <c r="Q33" s="16">
        <f>'F2'!Q15</f>
        <v>0</v>
      </c>
      <c r="R33" s="11" t="str">
        <f>'F2'!R15</f>
        <v/>
      </c>
      <c r="S33" s="16">
        <f>'F2'!S15</f>
        <v>0</v>
      </c>
      <c r="T33" s="16">
        <f>'F2'!T15</f>
        <v>0</v>
      </c>
      <c r="U33" s="16">
        <f>'F2'!U15</f>
        <v>0</v>
      </c>
      <c r="V33" s="16">
        <f>'F2'!V15</f>
        <v>0</v>
      </c>
      <c r="W33" s="16">
        <f>'F2'!W15</f>
        <v>8.42</v>
      </c>
      <c r="X33" s="16">
        <f>'F2'!X15</f>
        <v>0</v>
      </c>
      <c r="Y33" s="11">
        <f>'F2'!Y15</f>
        <v>8.1199999999999992</v>
      </c>
      <c r="Z33" s="16">
        <f>'F2'!Z15</f>
        <v>0</v>
      </c>
      <c r="AA33" s="11">
        <f>'F2'!AA15</f>
        <v>64.066799999999986</v>
      </c>
      <c r="AB33" s="15">
        <f>'F2'!AB15</f>
        <v>0</v>
      </c>
      <c r="AC33" s="13">
        <f>'F2'!AC15</f>
        <v>0</v>
      </c>
      <c r="AD33" s="13">
        <f>'F2'!AD15</f>
        <v>0</v>
      </c>
      <c r="AE33" s="13">
        <f>'F2'!AE15</f>
        <v>0</v>
      </c>
      <c r="AF33" s="14">
        <f>'F2'!AF15</f>
        <v>0</v>
      </c>
    </row>
    <row r="34" spans="1:32" ht="24" customHeight="1" x14ac:dyDescent="0.25">
      <c r="A34" s="13" t="str">
        <f>'F2'!A16</f>
        <v>DOE_Lote_2</v>
      </c>
      <c r="B34" s="13" t="str">
        <f>'F2'!B16</f>
        <v>F2</v>
      </c>
      <c r="C34" s="14" t="str">
        <f>'F2'!C16</f>
        <v>synthetic_lit_SM410_24C_highN_strip</v>
      </c>
      <c r="D34" s="13" t="str">
        <f>'F2'!D16</f>
        <v>DOE-LAB005-15</v>
      </c>
      <c r="E34" s="13">
        <f>'F2'!E16</f>
        <v>15</v>
      </c>
      <c r="F34" s="15">
        <f>'F2'!F16</f>
        <v>0</v>
      </c>
      <c r="G34" s="16">
        <f>'F2'!G16</f>
        <v>0</v>
      </c>
      <c r="H34" s="13" t="str">
        <f>'F2'!H16</f>
        <v>pending_manual_entry</v>
      </c>
      <c r="I34" s="13" t="b">
        <f>'F2'!I16</f>
        <v>1</v>
      </c>
      <c r="J34" s="15">
        <f>'F2'!J16</f>
        <v>46213.422974537039</v>
      </c>
      <c r="K34" s="15">
        <f>'F2'!K16</f>
        <v>46213.436886574083</v>
      </c>
      <c r="L34" s="13" t="str">
        <f>'F2'!L16</f>
        <v>ONLINE(26-07-10 09-47)_1.txt</v>
      </c>
      <c r="M34" s="16">
        <f>'F2'!M16</f>
        <v>20.07</v>
      </c>
      <c r="N34" s="11">
        <f>'F2'!N16</f>
        <v>54.610000000000007</v>
      </c>
      <c r="O34" s="16">
        <f>'F2'!O16</f>
        <v>74.680000000000007</v>
      </c>
      <c r="P34" s="16">
        <f>'F2'!P16</f>
        <v>-3</v>
      </c>
      <c r="Q34" s="16">
        <f>'F2'!Q16</f>
        <v>26</v>
      </c>
      <c r="R34" s="11">
        <f>'F2'!R16</f>
        <v>23</v>
      </c>
      <c r="S34" s="16">
        <f>'F2'!S16</f>
        <v>5.97</v>
      </c>
      <c r="T34" s="16">
        <f>'F2'!T16</f>
        <v>0.72</v>
      </c>
      <c r="U34" s="16">
        <f>'F2'!U16</f>
        <v>37</v>
      </c>
      <c r="V34" s="16">
        <f>'F2'!V16</f>
        <v>69</v>
      </c>
      <c r="W34" s="16">
        <f>'F2'!W16</f>
        <v>8.64</v>
      </c>
      <c r="X34" s="16">
        <f>'F2'!X16</f>
        <v>0</v>
      </c>
      <c r="Y34" s="11">
        <f>'F2'!Y16</f>
        <v>8.34</v>
      </c>
      <c r="Z34" s="16">
        <f>'F2'!Z16</f>
        <v>0</v>
      </c>
      <c r="AA34" s="11">
        <f>'F2'!AA16</f>
        <v>65.802599999999998</v>
      </c>
      <c r="AB34" s="15">
        <f>'F2'!AB16</f>
        <v>0</v>
      </c>
      <c r="AC34" s="13">
        <f>'F2'!AC16</f>
        <v>0</v>
      </c>
      <c r="AD34" s="13">
        <f>'F2'!AD16</f>
        <v>0</v>
      </c>
      <c r="AE34" s="13">
        <f>'F2'!AE16</f>
        <v>0</v>
      </c>
      <c r="AF34" s="14">
        <f>'F2'!AF16</f>
        <v>0</v>
      </c>
    </row>
    <row r="35" spans="1:32" ht="24" customHeight="1" x14ac:dyDescent="0.25">
      <c r="A35" s="13" t="str">
        <f>'F2'!A17</f>
        <v>DOE_Lote_2</v>
      </c>
      <c r="B35" s="13" t="str">
        <f>'F2'!B17</f>
        <v>F2</v>
      </c>
      <c r="C35" s="14" t="str">
        <f>'F2'!C17</f>
        <v>synthetic_lit_SM410_24C_highN_strip</v>
      </c>
      <c r="D35" s="13" t="str">
        <f>'F2'!D17</f>
        <v>DOE-LAB005-16</v>
      </c>
      <c r="E35" s="13">
        <f>'F2'!E17</f>
        <v>16</v>
      </c>
      <c r="F35" s="15">
        <f>'F2'!F17</f>
        <v>0</v>
      </c>
      <c r="G35" s="16">
        <f>'F2'!G17</f>
        <v>0</v>
      </c>
      <c r="H35" s="13" t="str">
        <f>'F2'!H17</f>
        <v>pending_manual_entry</v>
      </c>
      <c r="I35" s="13" t="b">
        <f>'F2'!I17</f>
        <v>1</v>
      </c>
      <c r="J35" s="15">
        <f>'F2'!J17</f>
        <v>46213.540810185194</v>
      </c>
      <c r="K35" s="15">
        <f>'F2'!K17</f>
        <v>46213.555844907409</v>
      </c>
      <c r="L35" s="13" t="str">
        <f>'F2'!L17</f>
        <v>ONLINE(26-07-10 09-47)_1.txt</v>
      </c>
      <c r="M35" s="16">
        <f>'F2'!M17</f>
        <v>17.739999999999998</v>
      </c>
      <c r="N35" s="11">
        <f>'F2'!N17</f>
        <v>52.27000000000001</v>
      </c>
      <c r="O35" s="16">
        <f>'F2'!O17</f>
        <v>70.010000000000005</v>
      </c>
      <c r="P35" s="16">
        <f>'F2'!P17</f>
        <v>-2</v>
      </c>
      <c r="Q35" s="16">
        <f>'F2'!Q17</f>
        <v>28</v>
      </c>
      <c r="R35" s="11">
        <f>'F2'!R17</f>
        <v>26</v>
      </c>
      <c r="S35" s="16">
        <f>'F2'!S17</f>
        <v>5.92</v>
      </c>
      <c r="T35" s="16">
        <f>'F2'!T17</f>
        <v>0.67</v>
      </c>
      <c r="U35" s="16">
        <f>'F2'!U17</f>
        <v>34</v>
      </c>
      <c r="V35" s="16">
        <f>'F2'!V17</f>
        <v>72</v>
      </c>
      <c r="W35" s="16">
        <f>'F2'!W17</f>
        <v>12.02</v>
      </c>
      <c r="X35" s="16">
        <f>'F2'!X17</f>
        <v>0</v>
      </c>
      <c r="Y35" s="11">
        <f>'F2'!Y17</f>
        <v>11.719999999999999</v>
      </c>
      <c r="Z35" s="16">
        <f>'F2'!Z17</f>
        <v>0</v>
      </c>
      <c r="AA35" s="11">
        <f>'F2'!AA17</f>
        <v>92.470799999999983</v>
      </c>
      <c r="AB35" s="15">
        <f>'F2'!AB17</f>
        <v>0</v>
      </c>
      <c r="AC35" s="13">
        <f>'F2'!AC17</f>
        <v>0</v>
      </c>
      <c r="AD35" s="13">
        <f>'F2'!AD17</f>
        <v>0</v>
      </c>
      <c r="AE35" s="13">
        <f>'F2'!AE17</f>
        <v>0</v>
      </c>
      <c r="AF35" s="14">
        <f>'F2'!AF17</f>
        <v>0</v>
      </c>
    </row>
    <row r="36" spans="1:32" ht="24" customHeight="1" x14ac:dyDescent="0.25">
      <c r="A36" s="13" t="str">
        <f>'F2'!A18</f>
        <v>DOE_Lote_2</v>
      </c>
      <c r="B36" s="13" t="str">
        <f>'F2'!B18</f>
        <v>F2</v>
      </c>
      <c r="C36" s="14" t="str">
        <f>'F2'!C18</f>
        <v>synthetic_lit_SM410_24C_highN_strip</v>
      </c>
      <c r="D36" s="13" t="str">
        <f>'F2'!D18</f>
        <v>DOE-LAB005-17</v>
      </c>
      <c r="E36" s="13">
        <f>'F2'!E18</f>
        <v>17</v>
      </c>
      <c r="F36" s="15">
        <f>'F2'!F18</f>
        <v>0</v>
      </c>
      <c r="G36" s="16">
        <f>'F2'!G18</f>
        <v>0</v>
      </c>
      <c r="H36" s="13" t="str">
        <f>'F2'!H18</f>
        <v>pending_manual_entry</v>
      </c>
      <c r="I36" s="13" t="b">
        <f>'F2'!I18</f>
        <v>0</v>
      </c>
      <c r="J36" s="15">
        <f>'F2'!J18</f>
        <v>0</v>
      </c>
      <c r="K36" s="15">
        <f>'F2'!K18</f>
        <v>0</v>
      </c>
      <c r="L36" s="13">
        <f>'F2'!L18</f>
        <v>0</v>
      </c>
      <c r="M36" s="16">
        <f>'F2'!M18</f>
        <v>0</v>
      </c>
      <c r="N36" s="11" t="str">
        <f>'F2'!N18</f>
        <v/>
      </c>
      <c r="O36" s="16">
        <f>'F2'!O18</f>
        <v>0</v>
      </c>
      <c r="P36" s="16">
        <f>'F2'!P18</f>
        <v>0</v>
      </c>
      <c r="Q36" s="16">
        <f>'F2'!Q18</f>
        <v>0</v>
      </c>
      <c r="R36" s="11" t="str">
        <f>'F2'!R18</f>
        <v/>
      </c>
      <c r="S36" s="16">
        <f>'F2'!S18</f>
        <v>0</v>
      </c>
      <c r="T36" s="16">
        <f>'F2'!T18</f>
        <v>0</v>
      </c>
      <c r="U36" s="16">
        <f>'F2'!U18</f>
        <v>0</v>
      </c>
      <c r="V36" s="16">
        <f>'F2'!V18</f>
        <v>0</v>
      </c>
      <c r="W36" s="16">
        <f>'F2'!W18</f>
        <v>12.06</v>
      </c>
      <c r="X36" s="16">
        <f>'F2'!X18</f>
        <v>0</v>
      </c>
      <c r="Y36" s="11">
        <f>'F2'!Y18</f>
        <v>11.76</v>
      </c>
      <c r="Z36" s="16">
        <f>'F2'!Z18</f>
        <v>0</v>
      </c>
      <c r="AA36" s="11">
        <f>'F2'!AA18</f>
        <v>92.7864</v>
      </c>
      <c r="AB36" s="15">
        <f>'F2'!AB18</f>
        <v>0</v>
      </c>
      <c r="AC36" s="13">
        <f>'F2'!AC18</f>
        <v>0</v>
      </c>
      <c r="AD36" s="13">
        <f>'F2'!AD18</f>
        <v>0</v>
      </c>
      <c r="AE36" s="13">
        <f>'F2'!AE18</f>
        <v>0</v>
      </c>
      <c r="AF36" s="14">
        <f>'F2'!AF18</f>
        <v>0</v>
      </c>
    </row>
    <row r="37" spans="1:32" ht="24" customHeight="1" x14ac:dyDescent="0.25">
      <c r="A37" s="13" t="str">
        <f>'F2'!A19</f>
        <v>DOE_Lote_2</v>
      </c>
      <c r="B37" s="13" t="str">
        <f>'F2'!B19</f>
        <v>F2</v>
      </c>
      <c r="C37" s="14" t="str">
        <f>'F2'!C19</f>
        <v>synthetic_lit_SM410_24C_highN_strip</v>
      </c>
      <c r="D37" s="13" t="str">
        <f>'F2'!D19</f>
        <v>DOE-LAB005-18</v>
      </c>
      <c r="E37" s="13">
        <f>'F2'!E19</f>
        <v>18</v>
      </c>
      <c r="F37" s="15">
        <f>'F2'!F19</f>
        <v>0</v>
      </c>
      <c r="G37" s="16">
        <f>'F2'!G19</f>
        <v>0</v>
      </c>
      <c r="H37" s="13" t="str">
        <f>'F2'!H19</f>
        <v>pending_manual_entry</v>
      </c>
      <c r="I37" s="13" t="b">
        <f>'F2'!I19</f>
        <v>1</v>
      </c>
      <c r="J37" s="15">
        <f>'F2'!J19</f>
        <v>46217.465254629627</v>
      </c>
      <c r="K37" s="15">
        <f>'F2'!K19</f>
        <v>46217.484722222223</v>
      </c>
      <c r="L37" s="13" t="str">
        <f>'F2'!L19</f>
        <v>ONLINE(26-07-14 10-40)_1.txt</v>
      </c>
      <c r="M37" s="16">
        <f>'F2'!M19</f>
        <v>-0.15</v>
      </c>
      <c r="N37" s="11">
        <f>'F2'!N19</f>
        <v>12.32</v>
      </c>
      <c r="O37" s="16">
        <f>'F2'!O19</f>
        <v>12.17</v>
      </c>
      <c r="P37" s="16">
        <f>'F2'!P19</f>
        <v>-1</v>
      </c>
      <c r="Q37" s="16">
        <f>'F2'!Q19</f>
        <v>25</v>
      </c>
      <c r="R37" s="11">
        <f>'F2'!R19</f>
        <v>24</v>
      </c>
      <c r="S37" s="16">
        <f>'F2'!S19</f>
        <v>6.8</v>
      </c>
      <c r="T37" s="16">
        <f>'F2'!T19</f>
        <v>0.79</v>
      </c>
      <c r="U37" s="16">
        <f>'F2'!U19</f>
        <v>40</v>
      </c>
      <c r="V37" s="16">
        <f>'F2'!V19</f>
        <v>0</v>
      </c>
      <c r="W37" s="16">
        <f>'F2'!W19</f>
        <v>12.43</v>
      </c>
      <c r="X37" s="16">
        <f>'F2'!X19</f>
        <v>0</v>
      </c>
      <c r="Y37" s="11">
        <f>'F2'!Y19</f>
        <v>12.129999999999999</v>
      </c>
      <c r="Z37" s="16">
        <f>'F2'!Z19</f>
        <v>0</v>
      </c>
      <c r="AA37" s="11">
        <f>'F2'!AA19</f>
        <v>95.705699999999993</v>
      </c>
      <c r="AB37" s="15">
        <f>'F2'!AB19</f>
        <v>0</v>
      </c>
      <c r="AC37" s="13">
        <f>'F2'!AC19</f>
        <v>0</v>
      </c>
      <c r="AD37" s="13">
        <f>'F2'!AD19</f>
        <v>0</v>
      </c>
      <c r="AE37" s="13">
        <f>'F2'!AE19</f>
        <v>0</v>
      </c>
      <c r="AF37" s="14">
        <f>'F2'!AF19</f>
        <v>0</v>
      </c>
    </row>
    <row r="38" spans="1:32" ht="24" customHeight="1" x14ac:dyDescent="0.25">
      <c r="A38" s="13" t="str">
        <f>'F3'!A2</f>
        <v>DOE_Lote_2</v>
      </c>
      <c r="B38" s="13" t="str">
        <f>'F3'!B2</f>
        <v>F3</v>
      </c>
      <c r="C38" s="14" t="str">
        <f>'F3'!C2</f>
        <v>synthetic_viable_biomass_step</v>
      </c>
      <c r="D38" s="13" t="str">
        <f>'F3'!D2</f>
        <v>DOE-LAB006-1</v>
      </c>
      <c r="E38" s="13">
        <f>'F3'!E2</f>
        <v>1</v>
      </c>
      <c r="F38" s="15">
        <f>'F3'!F2</f>
        <v>0</v>
      </c>
      <c r="G38" s="16">
        <f>'F3'!G2</f>
        <v>0</v>
      </c>
      <c r="H38" s="13" t="str">
        <f>'F3'!H2</f>
        <v>pending_manual_entry</v>
      </c>
      <c r="I38" s="13" t="b">
        <f>'F3'!I2</f>
        <v>1</v>
      </c>
      <c r="J38" s="15">
        <f>'F3'!J2</f>
        <v>46209.568877314807</v>
      </c>
      <c r="K38" s="15">
        <f>'F3'!K2</f>
        <v>46209.572766203702</v>
      </c>
      <c r="L38" s="13" t="str">
        <f>'F3'!L2</f>
        <v>ONLINE(26-07-06 11-48)_1.txt</v>
      </c>
      <c r="M38" s="16">
        <f>'F3'!M2</f>
        <v>71.83</v>
      </c>
      <c r="N38" s="11">
        <f>'F3'!N2</f>
        <v>87.61</v>
      </c>
      <c r="O38" s="16">
        <f>'F3'!O2</f>
        <v>159.44</v>
      </c>
      <c r="P38" s="16">
        <f>'F3'!P2</f>
        <v>135</v>
      </c>
      <c r="Q38" s="16">
        <f>'F3'!Q2</f>
        <v>55</v>
      </c>
      <c r="R38" s="11">
        <f>'F3'!R2</f>
        <v>190</v>
      </c>
      <c r="S38" s="16">
        <f>'F3'!S2</f>
        <v>0.42</v>
      </c>
      <c r="T38" s="16">
        <f>'F3'!T2</f>
        <v>0.08</v>
      </c>
      <c r="U38" s="16">
        <f>'F3'!U2</f>
        <v>7</v>
      </c>
      <c r="V38" s="16">
        <f>'F3'!V2</f>
        <v>49</v>
      </c>
      <c r="W38" s="16">
        <f>'F3'!W2</f>
        <v>0.31</v>
      </c>
      <c r="X38" s="16">
        <f>'F3'!X2</f>
        <v>0</v>
      </c>
      <c r="Y38" s="11">
        <f>'F3'!Y2</f>
        <v>1.0000000000000009E-2</v>
      </c>
      <c r="Z38" s="16">
        <f>'F3'!Z2</f>
        <v>0</v>
      </c>
      <c r="AA38" s="11">
        <f>'F3'!AA2</f>
        <v>7.8900000000000067E-2</v>
      </c>
      <c r="AB38" s="15">
        <f>'F3'!AB2</f>
        <v>0</v>
      </c>
      <c r="AC38" s="13">
        <f>'F3'!AC2</f>
        <v>0</v>
      </c>
      <c r="AD38" s="13">
        <f>'F3'!AD2</f>
        <v>0</v>
      </c>
      <c r="AE38" s="13">
        <f>'F3'!AE2</f>
        <v>0</v>
      </c>
      <c r="AF38" s="14">
        <f>'F3'!AF2</f>
        <v>0</v>
      </c>
    </row>
    <row r="39" spans="1:32" ht="24" customHeight="1" x14ac:dyDescent="0.25">
      <c r="A39" s="13" t="str">
        <f>'F3'!A3</f>
        <v>DOE_Lote_2</v>
      </c>
      <c r="B39" s="13" t="str">
        <f>'F3'!B3</f>
        <v>F3</v>
      </c>
      <c r="C39" s="14" t="str">
        <f>'F3'!C3</f>
        <v>synthetic_viable_biomass_step</v>
      </c>
      <c r="D39" s="13" t="str">
        <f>'F3'!D3</f>
        <v>DOE-LAB006-2</v>
      </c>
      <c r="E39" s="13">
        <f>'F3'!E3</f>
        <v>2</v>
      </c>
      <c r="F39" s="15">
        <f>'F3'!F3</f>
        <v>0</v>
      </c>
      <c r="G39" s="16">
        <f>'F3'!G3</f>
        <v>0</v>
      </c>
      <c r="H39" s="13" t="str">
        <f>'F3'!H3</f>
        <v>pending_manual_entry</v>
      </c>
      <c r="I39" s="13" t="b">
        <f>'F3'!I3</f>
        <v>1</v>
      </c>
      <c r="J39" s="15">
        <f>'F3'!J3</f>
        <v>46209.66002314815</v>
      </c>
      <c r="K39" s="15">
        <f>'F3'!K3</f>
        <v>46209.678946759261</v>
      </c>
      <c r="L39" s="13" t="str">
        <f>'F3'!L3</f>
        <v>ONLINE(26-07-06 11-48)_1.txt</v>
      </c>
      <c r="M39" s="16">
        <f>'F3'!M3</f>
        <v>71.3</v>
      </c>
      <c r="N39" s="11">
        <f>'F3'!N3</f>
        <v>87.38000000000001</v>
      </c>
      <c r="O39" s="16">
        <f>'F3'!O3</f>
        <v>158.68</v>
      </c>
      <c r="P39" s="16">
        <f>'F3'!P3</f>
        <v>125</v>
      </c>
      <c r="Q39" s="16">
        <f>'F3'!Q3</f>
        <v>49</v>
      </c>
      <c r="R39" s="11">
        <f>'F3'!R3</f>
        <v>174</v>
      </c>
      <c r="S39" s="16">
        <f>'F3'!S3</f>
        <v>0.35</v>
      </c>
      <c r="T39" s="16">
        <f>'F3'!T3</f>
        <v>0.11</v>
      </c>
      <c r="U39" s="16">
        <f>'F3'!U3</f>
        <v>12</v>
      </c>
      <c r="V39" s="16">
        <f>'F3'!V3</f>
        <v>33</v>
      </c>
      <c r="W39" s="16">
        <f>'F3'!W3</f>
        <v>0</v>
      </c>
      <c r="X39" s="16">
        <f>'F3'!X3</f>
        <v>0</v>
      </c>
      <c r="Y39" s="11">
        <f>'F3'!Y3</f>
        <v>0</v>
      </c>
      <c r="Z39" s="16">
        <f>'F3'!Z3</f>
        <v>0</v>
      </c>
      <c r="AA39" s="11" t="str">
        <f>'F3'!AA3</f>
        <v/>
      </c>
      <c r="AB39" s="15">
        <f>'F3'!AB3</f>
        <v>0</v>
      </c>
      <c r="AC39" s="13">
        <f>'F3'!AC3</f>
        <v>0</v>
      </c>
      <c r="AD39" s="13">
        <f>'F3'!AD3</f>
        <v>0</v>
      </c>
      <c r="AE39" s="13">
        <f>'F3'!AE3</f>
        <v>0</v>
      </c>
      <c r="AF39" s="14">
        <f>'F3'!AF3</f>
        <v>0</v>
      </c>
    </row>
    <row r="40" spans="1:32" ht="24" customHeight="1" x14ac:dyDescent="0.25">
      <c r="A40" s="13" t="str">
        <f>'F3'!A4</f>
        <v>DOE_Lote_2</v>
      </c>
      <c r="B40" s="13" t="str">
        <f>'F3'!B4</f>
        <v>F3</v>
      </c>
      <c r="C40" s="14" t="str">
        <f>'F3'!C4</f>
        <v>synthetic_viable_biomass_step</v>
      </c>
      <c r="D40" s="13" t="str">
        <f>'F3'!D4</f>
        <v>DOE-LAB006-3</v>
      </c>
      <c r="E40" s="13">
        <f>'F3'!E4</f>
        <v>3</v>
      </c>
      <c r="F40" s="15">
        <f>'F3'!F4</f>
        <v>0</v>
      </c>
      <c r="G40" s="16">
        <f>'F3'!G4</f>
        <v>0</v>
      </c>
      <c r="H40" s="13" t="str">
        <f>'F3'!H4</f>
        <v>pending_manual_entry</v>
      </c>
      <c r="I40" s="13" t="b">
        <f>'F3'!I4</f>
        <v>1</v>
      </c>
      <c r="J40" s="15">
        <f>'F3'!J4</f>
        <v>46209.705069444448</v>
      </c>
      <c r="K40" s="15">
        <f>'F3'!K4</f>
        <v>46209.722604166673</v>
      </c>
      <c r="L40" s="13" t="str">
        <f>'F3'!L4</f>
        <v>ONLINE(26-07-06 11-48)_1.txt</v>
      </c>
      <c r="M40" s="16">
        <f>'F3'!M4</f>
        <v>71.03</v>
      </c>
      <c r="N40" s="11">
        <f>'F3'!N4</f>
        <v>85.62</v>
      </c>
      <c r="O40" s="16">
        <f>'F3'!O4</f>
        <v>156.65</v>
      </c>
      <c r="P40" s="16">
        <f>'F3'!P4</f>
        <v>126</v>
      </c>
      <c r="Q40" s="16">
        <f>'F3'!Q4</f>
        <v>50</v>
      </c>
      <c r="R40" s="11">
        <f>'F3'!R4</f>
        <v>176</v>
      </c>
      <c r="S40" s="16">
        <f>'F3'!S4</f>
        <v>0.34</v>
      </c>
      <c r="T40" s="16">
        <f>'F3'!T4</f>
        <v>0.12</v>
      </c>
      <c r="U40" s="16">
        <f>'F3'!U4</f>
        <v>8</v>
      </c>
      <c r="V40" s="16">
        <f>'F3'!V4</f>
        <v>41</v>
      </c>
      <c r="W40" s="16">
        <f>'F3'!W4</f>
        <v>0.32</v>
      </c>
      <c r="X40" s="16">
        <f>'F3'!X4</f>
        <v>0</v>
      </c>
      <c r="Y40" s="11">
        <f>'F3'!Y4</f>
        <v>2.0000000000000018E-2</v>
      </c>
      <c r="Z40" s="16">
        <f>'F3'!Z4</f>
        <v>0</v>
      </c>
      <c r="AA40" s="11">
        <f>'F3'!AA4</f>
        <v>0.15780000000000013</v>
      </c>
      <c r="AB40" s="15">
        <f>'F3'!AB4</f>
        <v>0</v>
      </c>
      <c r="AC40" s="13">
        <f>'F3'!AC4</f>
        <v>0</v>
      </c>
      <c r="AD40" s="13">
        <f>'F3'!AD4</f>
        <v>0</v>
      </c>
      <c r="AE40" s="13">
        <f>'F3'!AE4</f>
        <v>0</v>
      </c>
      <c r="AF40" s="14">
        <f>'F3'!AF4</f>
        <v>0</v>
      </c>
    </row>
    <row r="41" spans="1:32" ht="24" customHeight="1" x14ac:dyDescent="0.25">
      <c r="A41" s="13" t="str">
        <f>'F3'!A5</f>
        <v>DOE_Lote_2</v>
      </c>
      <c r="B41" s="13" t="str">
        <f>'F3'!B5</f>
        <v>F3</v>
      </c>
      <c r="C41" s="14" t="str">
        <f>'F3'!C5</f>
        <v>synthetic_viable_biomass_step</v>
      </c>
      <c r="D41" s="13" t="str">
        <f>'F3'!D5</f>
        <v>DOE-LAB006-4</v>
      </c>
      <c r="E41" s="13">
        <f>'F3'!E5</f>
        <v>4</v>
      </c>
      <c r="F41" s="15">
        <f>'F3'!F5</f>
        <v>0</v>
      </c>
      <c r="G41" s="16">
        <f>'F3'!G5</f>
        <v>0</v>
      </c>
      <c r="H41" s="13" t="str">
        <f>'F3'!H5</f>
        <v>pending_manual_entry</v>
      </c>
      <c r="I41" s="13" t="b">
        <f>'F3'!I5</f>
        <v>1</v>
      </c>
      <c r="J41" s="15">
        <f>'F3'!J5</f>
        <v>46210.370393518519</v>
      </c>
      <c r="K41" s="15">
        <f>'F3'!K5</f>
        <v>46210.406481481477</v>
      </c>
      <c r="L41" s="13" t="str">
        <f>'F3'!L5</f>
        <v>ONLINE(26-07-07 08-26)_1.txt</v>
      </c>
      <c r="M41" s="16">
        <f>'F3'!M5</f>
        <v>66.61</v>
      </c>
      <c r="N41" s="11">
        <f>'F3'!N5</f>
        <v>85.11999999999999</v>
      </c>
      <c r="O41" s="16">
        <f>'F3'!O5</f>
        <v>151.72999999999999</v>
      </c>
      <c r="P41" s="16">
        <f>'F3'!P5</f>
        <v>158</v>
      </c>
      <c r="Q41" s="16">
        <f>'F3'!Q5</f>
        <v>32</v>
      </c>
      <c r="R41" s="11">
        <f>'F3'!R5</f>
        <v>190</v>
      </c>
      <c r="S41" s="16">
        <f>'F3'!S5</f>
        <v>0.66</v>
      </c>
      <c r="T41" s="16">
        <f>'F3'!T5</f>
        <v>0.24</v>
      </c>
      <c r="U41" s="16">
        <f>'F3'!U5</f>
        <v>26</v>
      </c>
      <c r="V41" s="16">
        <f>'F3'!V5</f>
        <v>53</v>
      </c>
      <c r="W41" s="16">
        <f>'F3'!W5</f>
        <v>0.77</v>
      </c>
      <c r="X41" s="16">
        <f>'F3'!X5</f>
        <v>0</v>
      </c>
      <c r="Y41" s="11">
        <f>'F3'!Y5</f>
        <v>0.47000000000000003</v>
      </c>
      <c r="Z41" s="16">
        <f>'F3'!Z5</f>
        <v>0</v>
      </c>
      <c r="AA41" s="11">
        <f>'F3'!AA5</f>
        <v>3.7082999999999999</v>
      </c>
      <c r="AB41" s="15">
        <f>'F3'!AB5</f>
        <v>0</v>
      </c>
      <c r="AC41" s="13">
        <f>'F3'!AC5</f>
        <v>0</v>
      </c>
      <c r="AD41" s="13">
        <f>'F3'!AD5</f>
        <v>0</v>
      </c>
      <c r="AE41" s="13">
        <f>'F3'!AE5</f>
        <v>0</v>
      </c>
      <c r="AF41" s="14">
        <f>'F3'!AF5</f>
        <v>0</v>
      </c>
    </row>
    <row r="42" spans="1:32" ht="24" customHeight="1" x14ac:dyDescent="0.25">
      <c r="A42" s="13" t="str">
        <f>'F3'!A6</f>
        <v>DOE_Lote_2</v>
      </c>
      <c r="B42" s="13" t="str">
        <f>'F3'!B6</f>
        <v>F3</v>
      </c>
      <c r="C42" s="14" t="str">
        <f>'F3'!C6</f>
        <v>synthetic_viable_biomass_step</v>
      </c>
      <c r="D42" s="13" t="str">
        <f>'F3'!D6</f>
        <v>DOE-LAB006-5</v>
      </c>
      <c r="E42" s="13">
        <f>'F3'!E6</f>
        <v>5</v>
      </c>
      <c r="F42" s="15">
        <f>'F3'!F6</f>
        <v>0</v>
      </c>
      <c r="G42" s="16">
        <f>'F3'!G6</f>
        <v>0</v>
      </c>
      <c r="H42" s="13" t="str">
        <f>'F3'!H6</f>
        <v>pending_manual_entry</v>
      </c>
      <c r="I42" s="13" t="b">
        <f>'F3'!I6</f>
        <v>1</v>
      </c>
      <c r="J42" s="15">
        <f>'F3'!J6</f>
        <v>46210.530127314807</v>
      </c>
      <c r="K42" s="15">
        <f>'F3'!K6</f>
        <v>46210.629074074073</v>
      </c>
      <c r="L42" s="13" t="str">
        <f>'F3'!L6</f>
        <v>ONLINE(26-07-07 08-26)_1.txt</v>
      </c>
      <c r="M42" s="16">
        <f>'F3'!M6</f>
        <v>61.92</v>
      </c>
      <c r="N42" s="11">
        <f>'F3'!N6</f>
        <v>83.39</v>
      </c>
      <c r="O42" s="16">
        <f>'F3'!O6</f>
        <v>145.31</v>
      </c>
      <c r="P42" s="16">
        <f>'F3'!P6</f>
        <v>103</v>
      </c>
      <c r="Q42" s="16">
        <f>'F3'!Q6</f>
        <v>42</v>
      </c>
      <c r="R42" s="11">
        <f>'F3'!R6</f>
        <v>145</v>
      </c>
      <c r="S42" s="16">
        <f>'F3'!S6</f>
        <v>0.99</v>
      </c>
      <c r="T42" s="16">
        <f>'F3'!T6</f>
        <v>0.28000000000000003</v>
      </c>
      <c r="U42" s="16">
        <f>'F3'!U6</f>
        <v>43</v>
      </c>
      <c r="V42" s="16">
        <f>'F3'!V6</f>
        <v>45</v>
      </c>
      <c r="W42" s="16">
        <f>'F3'!W6</f>
        <v>0</v>
      </c>
      <c r="X42" s="16">
        <f>'F3'!X6</f>
        <v>0</v>
      </c>
      <c r="Y42" s="11">
        <f>'F3'!Y6</f>
        <v>0</v>
      </c>
      <c r="Z42" s="16">
        <f>'F3'!Z6</f>
        <v>0</v>
      </c>
      <c r="AA42" s="11" t="str">
        <f>'F3'!AA6</f>
        <v/>
      </c>
      <c r="AB42" s="15">
        <f>'F3'!AB6</f>
        <v>0</v>
      </c>
      <c r="AC42" s="13">
        <f>'F3'!AC6</f>
        <v>0</v>
      </c>
      <c r="AD42" s="13">
        <f>'F3'!AD6</f>
        <v>0</v>
      </c>
      <c r="AE42" s="13">
        <f>'F3'!AE6</f>
        <v>0</v>
      </c>
      <c r="AF42" s="14">
        <f>'F3'!AF6</f>
        <v>0</v>
      </c>
    </row>
    <row r="43" spans="1:32" ht="24" customHeight="1" x14ac:dyDescent="0.25">
      <c r="A43" s="13" t="str">
        <f>'F3'!A7</f>
        <v>DOE_Lote_2</v>
      </c>
      <c r="B43" s="13" t="str">
        <f>'F3'!B7</f>
        <v>F3</v>
      </c>
      <c r="C43" s="14" t="str">
        <f>'F3'!C7</f>
        <v>synthetic_viable_biomass_step</v>
      </c>
      <c r="D43" s="13" t="str">
        <f>'F3'!D7</f>
        <v>DOE-LAB006-6</v>
      </c>
      <c r="E43" s="13">
        <f>'F3'!E7</f>
        <v>6</v>
      </c>
      <c r="F43" s="15">
        <f>'F3'!F7</f>
        <v>0</v>
      </c>
      <c r="G43" s="16">
        <f>'F3'!G7</f>
        <v>0</v>
      </c>
      <c r="H43" s="13" t="str">
        <f>'F3'!H7</f>
        <v>pending_manual_entry</v>
      </c>
      <c r="I43" s="13" t="b">
        <f>'F3'!I7</f>
        <v>1</v>
      </c>
      <c r="J43" s="15">
        <f>'F3'!J7</f>
        <v>46210.635196759264</v>
      </c>
      <c r="K43" s="15">
        <f>'F3'!K7</f>
        <v>46210.654675925929</v>
      </c>
      <c r="L43" s="13" t="str">
        <f>'F3'!L7</f>
        <v>ONLINE(26-07-07 08-26)_1.txt</v>
      </c>
      <c r="M43" s="16">
        <f>'F3'!M7</f>
        <v>61.55</v>
      </c>
      <c r="N43" s="11">
        <f>'F3'!N7</f>
        <v>78.679999999999993</v>
      </c>
      <c r="O43" s="16">
        <f>'F3'!O7</f>
        <v>140.22999999999999</v>
      </c>
      <c r="P43" s="16">
        <f>'F3'!P7</f>
        <v>99</v>
      </c>
      <c r="Q43" s="16">
        <f>'F3'!Q7</f>
        <v>39</v>
      </c>
      <c r="R43" s="11">
        <f>'F3'!R7</f>
        <v>138</v>
      </c>
      <c r="S43" s="16">
        <f>'F3'!S7</f>
        <v>1.1200000000000001</v>
      </c>
      <c r="T43" s="16">
        <f>'F3'!T7</f>
        <v>0.32</v>
      </c>
      <c r="U43" s="16">
        <f>'F3'!U7</f>
        <v>44</v>
      </c>
      <c r="V43" s="16">
        <f>'F3'!V7</f>
        <v>65</v>
      </c>
      <c r="W43" s="16">
        <f>'F3'!W7</f>
        <v>0</v>
      </c>
      <c r="X43" s="16">
        <f>'F3'!X7</f>
        <v>0</v>
      </c>
      <c r="Y43" s="11">
        <f>'F3'!Y7</f>
        <v>0</v>
      </c>
      <c r="Z43" s="16">
        <f>'F3'!Z7</f>
        <v>0</v>
      </c>
      <c r="AA43" s="11" t="str">
        <f>'F3'!AA7</f>
        <v/>
      </c>
      <c r="AB43" s="15">
        <f>'F3'!AB7</f>
        <v>0</v>
      </c>
      <c r="AC43" s="13">
        <f>'F3'!AC7</f>
        <v>0</v>
      </c>
      <c r="AD43" s="13">
        <f>'F3'!AD7</f>
        <v>0</v>
      </c>
      <c r="AE43" s="13">
        <f>'F3'!AE7</f>
        <v>0</v>
      </c>
      <c r="AF43" s="14">
        <f>'F3'!AF7</f>
        <v>0</v>
      </c>
    </row>
    <row r="44" spans="1:32" ht="24" customHeight="1" x14ac:dyDescent="0.25">
      <c r="A44" s="13" t="str">
        <f>'F3'!A8</f>
        <v>DOE_Lote_2</v>
      </c>
      <c r="B44" s="13" t="str">
        <f>'F3'!B8</f>
        <v>F3</v>
      </c>
      <c r="C44" s="14" t="str">
        <f>'F3'!C8</f>
        <v>synthetic_viable_biomass_step</v>
      </c>
      <c r="D44" s="13" t="str">
        <f>'F3'!D8</f>
        <v>DOE-LAB006-7</v>
      </c>
      <c r="E44" s="13">
        <f>'F3'!E8</f>
        <v>7</v>
      </c>
      <c r="F44" s="15">
        <f>'F3'!F8</f>
        <v>0</v>
      </c>
      <c r="G44" s="16">
        <f>'F3'!G8</f>
        <v>0</v>
      </c>
      <c r="H44" s="13" t="str">
        <f>'F3'!H8</f>
        <v>pending_manual_entry</v>
      </c>
      <c r="I44" s="13" t="b">
        <f>'F3'!I8</f>
        <v>0</v>
      </c>
      <c r="J44" s="15">
        <f>'F3'!J8</f>
        <v>0</v>
      </c>
      <c r="K44" s="15">
        <f>'F3'!K8</f>
        <v>0</v>
      </c>
      <c r="L44" s="13">
        <f>'F3'!L8</f>
        <v>0</v>
      </c>
      <c r="M44" s="16">
        <f>'F3'!M8</f>
        <v>0</v>
      </c>
      <c r="N44" s="11" t="str">
        <f>'F3'!N8</f>
        <v/>
      </c>
      <c r="O44" s="16">
        <f>'F3'!O8</f>
        <v>0</v>
      </c>
      <c r="P44" s="16">
        <f>'F3'!P8</f>
        <v>0</v>
      </c>
      <c r="Q44" s="16">
        <f>'F3'!Q8</f>
        <v>0</v>
      </c>
      <c r="R44" s="11" t="str">
        <f>'F3'!R8</f>
        <v/>
      </c>
      <c r="S44" s="16">
        <f>'F3'!S8</f>
        <v>0</v>
      </c>
      <c r="T44" s="16">
        <f>'F3'!T8</f>
        <v>0</v>
      </c>
      <c r="U44" s="16">
        <f>'F3'!U8</f>
        <v>0</v>
      </c>
      <c r="V44" s="16">
        <f>'F3'!V8</f>
        <v>0</v>
      </c>
      <c r="W44" s="16">
        <f>'F3'!W8</f>
        <v>1.21</v>
      </c>
      <c r="X44" s="16">
        <f>'F3'!X8</f>
        <v>0</v>
      </c>
      <c r="Y44" s="11">
        <f>'F3'!Y8</f>
        <v>0.90999999999999992</v>
      </c>
      <c r="Z44" s="16">
        <f>'F3'!Z8</f>
        <v>0</v>
      </c>
      <c r="AA44" s="11">
        <f>'F3'!AA8</f>
        <v>7.1798999999999991</v>
      </c>
      <c r="AB44" s="15">
        <f>'F3'!AB8</f>
        <v>0</v>
      </c>
      <c r="AC44" s="13">
        <f>'F3'!AC8</f>
        <v>0</v>
      </c>
      <c r="AD44" s="13">
        <f>'F3'!AD8</f>
        <v>0</v>
      </c>
      <c r="AE44" s="13">
        <f>'F3'!AE8</f>
        <v>0</v>
      </c>
      <c r="AF44" s="14">
        <f>'F3'!AF8</f>
        <v>0</v>
      </c>
    </row>
    <row r="45" spans="1:32" ht="24" customHeight="1" x14ac:dyDescent="0.25">
      <c r="A45" s="13" t="str">
        <f>'F3'!A9</f>
        <v>DOE_Lote_2</v>
      </c>
      <c r="B45" s="13" t="str">
        <f>'F3'!B9</f>
        <v>F3</v>
      </c>
      <c r="C45" s="14" t="str">
        <f>'F3'!C9</f>
        <v>synthetic_viable_biomass_step</v>
      </c>
      <c r="D45" s="13" t="str">
        <f>'F3'!D9</f>
        <v>DOE-LAB006-8</v>
      </c>
      <c r="E45" s="13">
        <f>'F3'!E9</f>
        <v>8</v>
      </c>
      <c r="F45" s="15">
        <f>'F3'!F9</f>
        <v>0</v>
      </c>
      <c r="G45" s="16">
        <f>'F3'!G9</f>
        <v>0</v>
      </c>
      <c r="H45" s="13" t="str">
        <f>'F3'!H9</f>
        <v>pending_manual_entry</v>
      </c>
      <c r="I45" s="13" t="b">
        <f>'F3'!I9</f>
        <v>1</v>
      </c>
      <c r="J45" s="15">
        <f>'F3'!J9</f>
        <v>46211.43173611111</v>
      </c>
      <c r="K45" s="15">
        <f>'F3'!K9</f>
        <v>46211.451493055552</v>
      </c>
      <c r="L45" s="13" t="str">
        <f>'F3'!L9</f>
        <v>ONLINE(26-07-08 09-58)_1.txt</v>
      </c>
      <c r="M45" s="16">
        <f>'F3'!M9</f>
        <v>45.91</v>
      </c>
      <c r="N45" s="11">
        <f>'F3'!N9</f>
        <v>70.97</v>
      </c>
      <c r="O45" s="16">
        <f>'F3'!O9</f>
        <v>116.88</v>
      </c>
      <c r="P45" s="16">
        <f>'F3'!P9</f>
        <v>0</v>
      </c>
      <c r="Q45" s="16">
        <f>'F3'!Q9</f>
        <v>20</v>
      </c>
      <c r="R45" s="11">
        <f>'F3'!R9</f>
        <v>20</v>
      </c>
      <c r="S45" s="16">
        <f>'F3'!S9</f>
        <v>2.15</v>
      </c>
      <c r="T45" s="16">
        <f>'F3'!T9</f>
        <v>0.36</v>
      </c>
      <c r="U45" s="16">
        <f>'F3'!U9</f>
        <v>85</v>
      </c>
      <c r="V45" s="16">
        <f>'F3'!V9</f>
        <v>93</v>
      </c>
      <c r="W45" s="16">
        <f>'F3'!W9</f>
        <v>2.68</v>
      </c>
      <c r="X45" s="16">
        <f>'F3'!X9</f>
        <v>0</v>
      </c>
      <c r="Y45" s="11">
        <f>'F3'!Y9</f>
        <v>2.3800000000000003</v>
      </c>
      <c r="Z45" s="16">
        <f>'F3'!Z9</f>
        <v>0</v>
      </c>
      <c r="AA45" s="11">
        <f>'F3'!AA9</f>
        <v>18.778200000000002</v>
      </c>
      <c r="AB45" s="15">
        <f>'F3'!AB9</f>
        <v>0</v>
      </c>
      <c r="AC45" s="13">
        <f>'F3'!AC9</f>
        <v>0</v>
      </c>
      <c r="AD45" s="13">
        <f>'F3'!AD9</f>
        <v>0</v>
      </c>
      <c r="AE45" s="13">
        <f>'F3'!AE9</f>
        <v>0</v>
      </c>
      <c r="AF45" s="14">
        <f>'F3'!AF9</f>
        <v>0</v>
      </c>
    </row>
    <row r="46" spans="1:32" ht="24" customHeight="1" x14ac:dyDescent="0.25">
      <c r="A46" s="13" t="str">
        <f>'F3'!A10</f>
        <v>DOE_Lote_2</v>
      </c>
      <c r="B46" s="13" t="str">
        <f>'F3'!B10</f>
        <v>F3</v>
      </c>
      <c r="C46" s="14" t="str">
        <f>'F3'!C10</f>
        <v>synthetic_viable_biomass_step</v>
      </c>
      <c r="D46" s="13" t="str">
        <f>'F3'!D10</f>
        <v>DOE-LAB006-9</v>
      </c>
      <c r="E46" s="13">
        <f>'F3'!E10</f>
        <v>9</v>
      </c>
      <c r="F46" s="15">
        <f>'F3'!F10</f>
        <v>0</v>
      </c>
      <c r="G46" s="16">
        <f>'F3'!G10</f>
        <v>0</v>
      </c>
      <c r="H46" s="13" t="str">
        <f>'F3'!H10</f>
        <v>pending_manual_entry</v>
      </c>
      <c r="I46" s="13" t="b">
        <f>'F3'!I10</f>
        <v>1</v>
      </c>
      <c r="J46" s="15">
        <f>'F3'!J10</f>
        <v>46211.622743055559</v>
      </c>
      <c r="K46" s="15">
        <f>'F3'!K10</f>
        <v>46211.644178240742</v>
      </c>
      <c r="L46" s="13" t="str">
        <f>'F3'!L10</f>
        <v>ONLINE(26-07-08 09-58)_1.txt</v>
      </c>
      <c r="M46" s="16">
        <f>'F3'!M10</f>
        <v>39.65</v>
      </c>
      <c r="N46" s="11">
        <f>'F3'!N10</f>
        <v>64.27000000000001</v>
      </c>
      <c r="O46" s="16">
        <f>'F3'!O10</f>
        <v>103.92</v>
      </c>
      <c r="P46" s="16">
        <f>'F3'!P10</f>
        <v>4</v>
      </c>
      <c r="Q46" s="16">
        <f>'F3'!Q10</f>
        <v>23</v>
      </c>
      <c r="R46" s="11">
        <f>'F3'!R10</f>
        <v>27</v>
      </c>
      <c r="S46" s="16">
        <f>'F3'!S10</f>
        <v>2.93</v>
      </c>
      <c r="T46" s="16">
        <f>'F3'!T10</f>
        <v>0.39</v>
      </c>
      <c r="U46" s="16">
        <f>'F3'!U10</f>
        <v>87</v>
      </c>
      <c r="V46" s="16">
        <f>'F3'!V10</f>
        <v>108</v>
      </c>
      <c r="W46" s="16">
        <f>'F3'!W10</f>
        <v>0</v>
      </c>
      <c r="X46" s="16">
        <f>'F3'!X10</f>
        <v>0</v>
      </c>
      <c r="Y46" s="11">
        <f>'F3'!Y10</f>
        <v>0</v>
      </c>
      <c r="Z46" s="16">
        <f>'F3'!Z10</f>
        <v>0</v>
      </c>
      <c r="AA46" s="11" t="str">
        <f>'F3'!AA10</f>
        <v/>
      </c>
      <c r="AB46" s="15">
        <f>'F3'!AB10</f>
        <v>0</v>
      </c>
      <c r="AC46" s="13">
        <f>'F3'!AC10</f>
        <v>0</v>
      </c>
      <c r="AD46" s="13">
        <f>'F3'!AD10</f>
        <v>0</v>
      </c>
      <c r="AE46" s="13">
        <f>'F3'!AE10</f>
        <v>0</v>
      </c>
      <c r="AF46" s="14">
        <f>'F3'!AF10</f>
        <v>0</v>
      </c>
    </row>
    <row r="47" spans="1:32" ht="24" customHeight="1" x14ac:dyDescent="0.25">
      <c r="A47" s="13" t="str">
        <f>'F3'!A11</f>
        <v>DOE_Lote_2</v>
      </c>
      <c r="B47" s="13" t="str">
        <f>'F3'!B11</f>
        <v>F3</v>
      </c>
      <c r="C47" s="14" t="str">
        <f>'F3'!C11</f>
        <v>synthetic_viable_biomass_step</v>
      </c>
      <c r="D47" s="13" t="str">
        <f>'F3'!D11</f>
        <v>DOE-LAB006-10</v>
      </c>
      <c r="E47" s="13">
        <f>'F3'!E11</f>
        <v>10</v>
      </c>
      <c r="F47" s="15">
        <f>'F3'!F11</f>
        <v>0</v>
      </c>
      <c r="G47" s="16">
        <f>'F3'!G11</f>
        <v>0</v>
      </c>
      <c r="H47" s="13" t="str">
        <f>'F3'!H11</f>
        <v>pending_manual_entry</v>
      </c>
      <c r="I47" s="13" t="b">
        <f>'F3'!I11</f>
        <v>1</v>
      </c>
      <c r="J47" s="15">
        <f>'F3'!J11</f>
        <v>46211.694189814807</v>
      </c>
      <c r="K47" s="15">
        <f>'F3'!K11</f>
        <v>46211.713391203702</v>
      </c>
      <c r="L47" s="13" t="str">
        <f>'F3'!L11</f>
        <v>ONLINE(26-07-08 09-58)_1.txt</v>
      </c>
      <c r="M47" s="16">
        <f>'F3'!M11</f>
        <v>36.61</v>
      </c>
      <c r="N47" s="11">
        <f>'F3'!N11</f>
        <v>62.820000000000007</v>
      </c>
      <c r="O47" s="16">
        <f>'F3'!O11</f>
        <v>99.43</v>
      </c>
      <c r="P47" s="16">
        <f>'F3'!P11</f>
        <v>5</v>
      </c>
      <c r="Q47" s="16">
        <f>'F3'!Q11</f>
        <v>23</v>
      </c>
      <c r="R47" s="11">
        <f>'F3'!R11</f>
        <v>28</v>
      </c>
      <c r="S47" s="16">
        <f>'F3'!S11</f>
        <v>0</v>
      </c>
      <c r="T47" s="16">
        <f>'F3'!T11</f>
        <v>0.44</v>
      </c>
      <c r="U47" s="16">
        <f>'F3'!U11</f>
        <v>89</v>
      </c>
      <c r="V47" s="16">
        <f>'F3'!V11</f>
        <v>0</v>
      </c>
      <c r="W47" s="16">
        <f>'F3'!W11</f>
        <v>3.3</v>
      </c>
      <c r="X47" s="16">
        <f>'F3'!X11</f>
        <v>0</v>
      </c>
      <c r="Y47" s="11">
        <f>'F3'!Y11</f>
        <v>3</v>
      </c>
      <c r="Z47" s="16">
        <f>'F3'!Z11</f>
        <v>0</v>
      </c>
      <c r="AA47" s="11">
        <f>'F3'!AA11</f>
        <v>23.669999999999998</v>
      </c>
      <c r="AB47" s="15">
        <f>'F3'!AB11</f>
        <v>0</v>
      </c>
      <c r="AC47" s="13">
        <f>'F3'!AC11</f>
        <v>0</v>
      </c>
      <c r="AD47" s="13">
        <f>'F3'!AD11</f>
        <v>0</v>
      </c>
      <c r="AE47" s="13">
        <f>'F3'!AE11</f>
        <v>0</v>
      </c>
      <c r="AF47" s="14">
        <f>'F3'!AF11</f>
        <v>0</v>
      </c>
    </row>
    <row r="48" spans="1:32" ht="24" customHeight="1" x14ac:dyDescent="0.25">
      <c r="A48" s="13" t="str">
        <f>'F3'!A12</f>
        <v>DOE_Lote_2</v>
      </c>
      <c r="B48" s="13" t="str">
        <f>'F3'!B12</f>
        <v>F3</v>
      </c>
      <c r="C48" s="14" t="str">
        <f>'F3'!C12</f>
        <v>synthetic_viable_biomass_step</v>
      </c>
      <c r="D48" s="13" t="str">
        <f>'F3'!D12</f>
        <v>DOE-LAB006-11</v>
      </c>
      <c r="E48" s="13">
        <f>'F3'!E12</f>
        <v>11</v>
      </c>
      <c r="F48" s="15">
        <f>'F3'!F12</f>
        <v>0</v>
      </c>
      <c r="G48" s="16">
        <f>'F3'!G12</f>
        <v>0</v>
      </c>
      <c r="H48" s="13" t="str">
        <f>'F3'!H12</f>
        <v>pending_manual_entry</v>
      </c>
      <c r="I48" s="13" t="b">
        <f>'F3'!I12</f>
        <v>1</v>
      </c>
      <c r="J48" s="15">
        <f>'F3'!J12</f>
        <v>46212.439826388887</v>
      </c>
      <c r="K48" s="15">
        <f>'F3'!K12</f>
        <v>46212.466249999998</v>
      </c>
      <c r="L48" s="13" t="str">
        <f>'F3'!L12</f>
        <v>ONLINE(26-07-09 10-09)_1.txt</v>
      </c>
      <c r="M48" s="16">
        <f>'F3'!M12</f>
        <v>15.46</v>
      </c>
      <c r="N48" s="11">
        <f>'F3'!N12</f>
        <v>42</v>
      </c>
      <c r="O48" s="16">
        <f>'F3'!O12</f>
        <v>57.46</v>
      </c>
      <c r="P48" s="16">
        <f>'F3'!P12</f>
        <v>-2</v>
      </c>
      <c r="Q48" s="16">
        <f>'F3'!Q12</f>
        <v>25</v>
      </c>
      <c r="R48" s="11">
        <f>'F3'!R12</f>
        <v>23</v>
      </c>
      <c r="S48" s="16">
        <f>'F3'!S12</f>
        <v>5.04</v>
      </c>
      <c r="T48" s="16">
        <f>'F3'!T12</f>
        <v>0.5</v>
      </c>
      <c r="U48" s="16">
        <f>'F3'!U12</f>
        <v>82</v>
      </c>
      <c r="V48" s="16">
        <f>'F3'!V12</f>
        <v>51</v>
      </c>
      <c r="W48" s="16">
        <f>'F3'!W12</f>
        <v>5.79</v>
      </c>
      <c r="X48" s="16">
        <f>'F3'!X12</f>
        <v>0</v>
      </c>
      <c r="Y48" s="11">
        <f>'F3'!Y12</f>
        <v>5.49</v>
      </c>
      <c r="Z48" s="16">
        <f>'F3'!Z12</f>
        <v>0</v>
      </c>
      <c r="AA48" s="11">
        <f>'F3'!AA12</f>
        <v>43.316099999999999</v>
      </c>
      <c r="AB48" s="15">
        <f>'F3'!AB12</f>
        <v>0</v>
      </c>
      <c r="AC48" s="13">
        <f>'F3'!AC12</f>
        <v>0</v>
      </c>
      <c r="AD48" s="13">
        <f>'F3'!AD12</f>
        <v>0</v>
      </c>
      <c r="AE48" s="13">
        <f>'F3'!AE12</f>
        <v>0</v>
      </c>
      <c r="AF48" s="14">
        <f>'F3'!AF12</f>
        <v>0</v>
      </c>
    </row>
    <row r="49" spans="1:32" ht="24" customHeight="1" x14ac:dyDescent="0.25">
      <c r="A49" s="13" t="str">
        <f>'F3'!A13</f>
        <v>DOE_Lote_2</v>
      </c>
      <c r="B49" s="13" t="str">
        <f>'F3'!B13</f>
        <v>F3</v>
      </c>
      <c r="C49" s="14" t="str">
        <f>'F3'!C13</f>
        <v>synthetic_viable_biomass_step</v>
      </c>
      <c r="D49" s="13" t="str">
        <f>'F3'!D13</f>
        <v>DOE-LAB006-12</v>
      </c>
      <c r="E49" s="13">
        <f>'F3'!E13</f>
        <v>12</v>
      </c>
      <c r="F49" s="15">
        <f>'F3'!F13</f>
        <v>0</v>
      </c>
      <c r="G49" s="16">
        <f>'F3'!G13</f>
        <v>0</v>
      </c>
      <c r="H49" s="13" t="str">
        <f>'F3'!H13</f>
        <v>pending_manual_entry</v>
      </c>
      <c r="I49" s="13" t="b">
        <f>'F3'!I13</f>
        <v>1</v>
      </c>
      <c r="J49" s="15">
        <f>'F3'!J13</f>
        <v>46212.534062500003</v>
      </c>
      <c r="K49" s="15">
        <f>'F3'!K13</f>
        <v>46212.549363425933</v>
      </c>
      <c r="L49" s="13" t="str">
        <f>'F3'!L13</f>
        <v>ONLINE(26-07-09 10-09)_1.txt</v>
      </c>
      <c r="M49" s="16">
        <f>'F3'!M13</f>
        <v>14.82</v>
      </c>
      <c r="N49" s="11">
        <f>'F3'!N13</f>
        <v>40.83</v>
      </c>
      <c r="O49" s="16">
        <f>'F3'!O13</f>
        <v>55.65</v>
      </c>
      <c r="P49" s="16">
        <f>'F3'!P13</f>
        <v>-1</v>
      </c>
      <c r="Q49" s="16">
        <f>'F3'!Q13</f>
        <v>20</v>
      </c>
      <c r="R49" s="11">
        <f>'F3'!R13</f>
        <v>19</v>
      </c>
      <c r="S49" s="16">
        <f>'F3'!S13</f>
        <v>5.49</v>
      </c>
      <c r="T49" s="16">
        <f>'F3'!T13</f>
        <v>0.49</v>
      </c>
      <c r="U49" s="16">
        <f>'F3'!U13</f>
        <v>67</v>
      </c>
      <c r="V49" s="16">
        <f>'F3'!V13</f>
        <v>75</v>
      </c>
      <c r="W49" s="16">
        <f>'F3'!W13</f>
        <v>0</v>
      </c>
      <c r="X49" s="16">
        <f>'F3'!X13</f>
        <v>0</v>
      </c>
      <c r="Y49" s="11">
        <f>'F3'!Y13</f>
        <v>0</v>
      </c>
      <c r="Z49" s="16">
        <f>'F3'!Z13</f>
        <v>0</v>
      </c>
      <c r="AA49" s="11" t="str">
        <f>'F3'!AA13</f>
        <v/>
      </c>
      <c r="AB49" s="15">
        <f>'F3'!AB13</f>
        <v>0</v>
      </c>
      <c r="AC49" s="13">
        <f>'F3'!AC13</f>
        <v>0</v>
      </c>
      <c r="AD49" s="13">
        <f>'F3'!AD13</f>
        <v>0</v>
      </c>
      <c r="AE49" s="13">
        <f>'F3'!AE13</f>
        <v>0</v>
      </c>
      <c r="AF49" s="14">
        <f>'F3'!AF13</f>
        <v>0</v>
      </c>
    </row>
    <row r="50" spans="1:32" ht="24" customHeight="1" x14ac:dyDescent="0.25">
      <c r="A50" s="13" t="str">
        <f>'F3'!A14</f>
        <v>DOE_Lote_2</v>
      </c>
      <c r="B50" s="13" t="str">
        <f>'F3'!B14</f>
        <v>F3</v>
      </c>
      <c r="C50" s="14" t="str">
        <f>'F3'!C14</f>
        <v>synthetic_viable_biomass_step</v>
      </c>
      <c r="D50" s="13" t="str">
        <f>'F3'!D14</f>
        <v>DOE-LAB006-13</v>
      </c>
      <c r="E50" s="13">
        <f>'F3'!E14</f>
        <v>13</v>
      </c>
      <c r="F50" s="15">
        <f>'F3'!F14</f>
        <v>0</v>
      </c>
      <c r="G50" s="16">
        <f>'F3'!G14</f>
        <v>0</v>
      </c>
      <c r="H50" s="13" t="str">
        <f>'F3'!H14</f>
        <v>pending_manual_entry</v>
      </c>
      <c r="I50" s="13" t="b">
        <f>'F3'!I14</f>
        <v>1</v>
      </c>
      <c r="J50" s="15">
        <f>'F3'!J14</f>
        <v>46212.714965277781</v>
      </c>
      <c r="K50" s="15">
        <f>'F3'!K14</f>
        <v>46212.752893518518</v>
      </c>
      <c r="L50" s="13" t="str">
        <f>'F3'!L14</f>
        <v>ONLINE(26-07-09 10-09)_1.txt</v>
      </c>
      <c r="M50" s="16">
        <f>'F3'!M14</f>
        <v>10.1</v>
      </c>
      <c r="N50" s="11">
        <f>'F3'!N14</f>
        <v>33.99</v>
      </c>
      <c r="O50" s="16">
        <f>'F3'!O14</f>
        <v>44.09</v>
      </c>
      <c r="P50" s="16">
        <f>'F3'!P14</f>
        <v>-1</v>
      </c>
      <c r="Q50" s="16">
        <f>'F3'!Q14</f>
        <v>16</v>
      </c>
      <c r="R50" s="11">
        <f>'F3'!R14</f>
        <v>15</v>
      </c>
      <c r="S50" s="16">
        <f>'F3'!S14</f>
        <v>5.18</v>
      </c>
      <c r="T50" s="16">
        <f>'F3'!T14</f>
        <v>0.49</v>
      </c>
      <c r="U50" s="16">
        <f>'F3'!U14</f>
        <v>77</v>
      </c>
      <c r="V50" s="16">
        <f>'F3'!V14</f>
        <v>59</v>
      </c>
      <c r="W50" s="16">
        <f>'F3'!W14</f>
        <v>6.64</v>
      </c>
      <c r="X50" s="16">
        <f>'F3'!X14</f>
        <v>0</v>
      </c>
      <c r="Y50" s="11">
        <f>'F3'!Y14</f>
        <v>6.34</v>
      </c>
      <c r="Z50" s="16">
        <f>'F3'!Z14</f>
        <v>0</v>
      </c>
      <c r="AA50" s="11">
        <f>'F3'!AA14</f>
        <v>50.022599999999997</v>
      </c>
      <c r="AB50" s="15">
        <f>'F3'!AB14</f>
        <v>0</v>
      </c>
      <c r="AC50" s="13">
        <f>'F3'!AC14</f>
        <v>0</v>
      </c>
      <c r="AD50" s="13">
        <f>'F3'!AD14</f>
        <v>0</v>
      </c>
      <c r="AE50" s="13">
        <f>'F3'!AE14</f>
        <v>0</v>
      </c>
      <c r="AF50" s="14">
        <f>'F3'!AF14</f>
        <v>0</v>
      </c>
    </row>
    <row r="51" spans="1:32" ht="24" customHeight="1" x14ac:dyDescent="0.25">
      <c r="A51" s="13" t="str">
        <f>'F3'!A15</f>
        <v>DOE_Lote_2</v>
      </c>
      <c r="B51" s="13" t="str">
        <f>'F3'!B15</f>
        <v>F3</v>
      </c>
      <c r="C51" s="14" t="str">
        <f>'F3'!C15</f>
        <v>synthetic_viable_biomass_step</v>
      </c>
      <c r="D51" s="13" t="str">
        <f>'F3'!D15</f>
        <v>DOE-LAB006-14</v>
      </c>
      <c r="E51" s="13">
        <f>'F3'!E15</f>
        <v>14</v>
      </c>
      <c r="F51" s="15">
        <f>'F3'!F15</f>
        <v>0</v>
      </c>
      <c r="G51" s="16">
        <f>'F3'!G15</f>
        <v>0</v>
      </c>
      <c r="H51" s="13" t="str">
        <f>'F3'!H15</f>
        <v>pending_manual_entry</v>
      </c>
      <c r="I51" s="13" t="b">
        <f>'F3'!I15</f>
        <v>0</v>
      </c>
      <c r="J51" s="15">
        <f>'F3'!J15</f>
        <v>0</v>
      </c>
      <c r="K51" s="15">
        <f>'F3'!K15</f>
        <v>0</v>
      </c>
      <c r="L51" s="13">
        <f>'F3'!L15</f>
        <v>0</v>
      </c>
      <c r="M51" s="16">
        <f>'F3'!M15</f>
        <v>0</v>
      </c>
      <c r="N51" s="11" t="str">
        <f>'F3'!N15</f>
        <v/>
      </c>
      <c r="O51" s="16">
        <f>'F3'!O15</f>
        <v>0</v>
      </c>
      <c r="P51" s="16">
        <f>'F3'!P15</f>
        <v>0</v>
      </c>
      <c r="Q51" s="16">
        <f>'F3'!Q15</f>
        <v>0</v>
      </c>
      <c r="R51" s="11" t="str">
        <f>'F3'!R15</f>
        <v/>
      </c>
      <c r="S51" s="16">
        <f>'F3'!S15</f>
        <v>0</v>
      </c>
      <c r="T51" s="16">
        <f>'F3'!T15</f>
        <v>0</v>
      </c>
      <c r="U51" s="16">
        <f>'F3'!U15</f>
        <v>0</v>
      </c>
      <c r="V51" s="16">
        <f>'F3'!V15</f>
        <v>0</v>
      </c>
      <c r="W51" s="16">
        <f>'F3'!W15</f>
        <v>8.3000000000000007</v>
      </c>
      <c r="X51" s="16">
        <f>'F3'!X15</f>
        <v>0</v>
      </c>
      <c r="Y51" s="11">
        <f>'F3'!Y15</f>
        <v>8</v>
      </c>
      <c r="Z51" s="16">
        <f>'F3'!Z15</f>
        <v>0</v>
      </c>
      <c r="AA51" s="11">
        <f>'F3'!AA15</f>
        <v>63.12</v>
      </c>
      <c r="AB51" s="15">
        <f>'F3'!AB15</f>
        <v>0</v>
      </c>
      <c r="AC51" s="13">
        <f>'F3'!AC15</f>
        <v>0</v>
      </c>
      <c r="AD51" s="13">
        <f>'F3'!AD15</f>
        <v>0</v>
      </c>
      <c r="AE51" s="13">
        <f>'F3'!AE15</f>
        <v>0</v>
      </c>
      <c r="AF51" s="14">
        <f>'F3'!AF15</f>
        <v>0</v>
      </c>
    </row>
    <row r="52" spans="1:32" ht="24" customHeight="1" x14ac:dyDescent="0.25">
      <c r="A52" s="13" t="str">
        <f>'F3'!A16</f>
        <v>DOE_Lote_2</v>
      </c>
      <c r="B52" s="13" t="str">
        <f>'F3'!B16</f>
        <v>F3</v>
      </c>
      <c r="C52" s="14" t="str">
        <f>'F3'!C16</f>
        <v>synthetic_viable_biomass_step</v>
      </c>
      <c r="D52" s="13" t="str">
        <f>'F3'!D16</f>
        <v>DOE-LAB006-15</v>
      </c>
      <c r="E52" s="13">
        <f>'F3'!E16</f>
        <v>15</v>
      </c>
      <c r="F52" s="15">
        <f>'F3'!F16</f>
        <v>0</v>
      </c>
      <c r="G52" s="16">
        <f>'F3'!G16</f>
        <v>0</v>
      </c>
      <c r="H52" s="13" t="str">
        <f>'F3'!H16</f>
        <v>pending_manual_entry</v>
      </c>
      <c r="I52" s="13" t="b">
        <f>'F3'!I16</f>
        <v>1</v>
      </c>
      <c r="J52" s="15">
        <f>'F3'!J16</f>
        <v>46213.424363425933</v>
      </c>
      <c r="K52" s="15">
        <f>'F3'!K16</f>
        <v>46213.442175925928</v>
      </c>
      <c r="L52" s="13" t="str">
        <f>'F3'!L16</f>
        <v>ONLINE(26-07-10 09-47)_1.txt</v>
      </c>
      <c r="M52" s="16">
        <f>'F3'!M16</f>
        <v>1.1599999999999999</v>
      </c>
      <c r="N52" s="11">
        <f>'F3'!N16</f>
        <v>17.5</v>
      </c>
      <c r="O52" s="16">
        <f>'F3'!O16</f>
        <v>18.66</v>
      </c>
      <c r="P52" s="16">
        <f>'F3'!P16</f>
        <v>-3</v>
      </c>
      <c r="Q52" s="16">
        <f>'F3'!Q16</f>
        <v>15</v>
      </c>
      <c r="R52" s="11">
        <f>'F3'!R16</f>
        <v>12</v>
      </c>
      <c r="S52" s="16">
        <f>'F3'!S16</f>
        <v>5.46</v>
      </c>
      <c r="T52" s="16">
        <f>'F3'!T16</f>
        <v>0.47</v>
      </c>
      <c r="U52" s="16">
        <f>'F3'!U16</f>
        <v>46</v>
      </c>
      <c r="V52" s="16">
        <f>'F3'!V16</f>
        <v>30</v>
      </c>
      <c r="W52" s="16">
        <f>'F3'!W16</f>
        <v>8.44</v>
      </c>
      <c r="X52" s="16">
        <f>'F3'!X16</f>
        <v>0</v>
      </c>
      <c r="Y52" s="11">
        <f>'F3'!Y16</f>
        <v>8.1399999999999988</v>
      </c>
      <c r="Z52" s="16">
        <f>'F3'!Z16</f>
        <v>0</v>
      </c>
      <c r="AA52" s="11">
        <f>'F3'!AA16</f>
        <v>64.224599999999981</v>
      </c>
      <c r="AB52" s="15">
        <f>'F3'!AB16</f>
        <v>0</v>
      </c>
      <c r="AC52" s="13">
        <f>'F3'!AC16</f>
        <v>0</v>
      </c>
      <c r="AD52" s="13">
        <f>'F3'!AD16</f>
        <v>0</v>
      </c>
      <c r="AE52" s="13">
        <f>'F3'!AE16</f>
        <v>0</v>
      </c>
      <c r="AF52" s="14">
        <f>'F3'!AF16</f>
        <v>0</v>
      </c>
    </row>
    <row r="53" spans="1:32" ht="24" customHeight="1" x14ac:dyDescent="0.25">
      <c r="A53" s="13" t="str">
        <f>'F3'!A17</f>
        <v>DOE_Lote_2</v>
      </c>
      <c r="B53" s="13" t="str">
        <f>'F3'!B17</f>
        <v>F3</v>
      </c>
      <c r="C53" s="14" t="str">
        <f>'F3'!C17</f>
        <v>synthetic_viable_biomass_step</v>
      </c>
      <c r="D53" s="13" t="str">
        <f>'F3'!D17</f>
        <v>DOE-LAB006-16</v>
      </c>
      <c r="E53" s="13">
        <f>'F3'!E17</f>
        <v>16</v>
      </c>
      <c r="F53" s="15">
        <f>'F3'!F17</f>
        <v>0</v>
      </c>
      <c r="G53" s="16">
        <f>'F3'!G17</f>
        <v>0</v>
      </c>
      <c r="H53" s="13" t="str">
        <f>'F3'!H17</f>
        <v>pending_manual_entry</v>
      </c>
      <c r="I53" s="13" t="b">
        <f>'F3'!I17</f>
        <v>1</v>
      </c>
      <c r="J53" s="15">
        <f>'F3'!J17</f>
        <v>46213.542488425926</v>
      </c>
      <c r="K53" s="15">
        <f>'F3'!K17</f>
        <v>46213.560289351852</v>
      </c>
      <c r="L53" s="13" t="str">
        <f>'F3'!L17</f>
        <v>ONLINE(26-07-10 09-47)_1.txt</v>
      </c>
      <c r="M53" s="16">
        <f>'F3'!M17</f>
        <v>0.82</v>
      </c>
      <c r="N53" s="11">
        <f>'F3'!N17</f>
        <v>15.870000000000001</v>
      </c>
      <c r="O53" s="16">
        <f>'F3'!O17</f>
        <v>16.690000000000001</v>
      </c>
      <c r="P53" s="16">
        <f>'F3'!P17</f>
        <v>-1</v>
      </c>
      <c r="Q53" s="16">
        <f>'F3'!Q17</f>
        <v>16</v>
      </c>
      <c r="R53" s="11">
        <f>'F3'!R17</f>
        <v>15</v>
      </c>
      <c r="S53" s="16">
        <f>'F3'!S17</f>
        <v>5.37</v>
      </c>
      <c r="T53" s="16">
        <f>'F3'!T17</f>
        <v>0.48</v>
      </c>
      <c r="U53" s="16">
        <f>'F3'!U17</f>
        <v>42</v>
      </c>
      <c r="V53" s="16">
        <f>'F3'!V17</f>
        <v>35</v>
      </c>
      <c r="W53" s="16">
        <f>'F3'!W17</f>
        <v>9.74</v>
      </c>
      <c r="X53" s="16">
        <f>'F3'!X17</f>
        <v>0</v>
      </c>
      <c r="Y53" s="11">
        <f>'F3'!Y17</f>
        <v>9.44</v>
      </c>
      <c r="Z53" s="16">
        <f>'F3'!Z17</f>
        <v>0</v>
      </c>
      <c r="AA53" s="11">
        <f>'F3'!AA17</f>
        <v>74.481599999999986</v>
      </c>
      <c r="AB53" s="15">
        <f>'F3'!AB17</f>
        <v>0</v>
      </c>
      <c r="AC53" s="13">
        <f>'F3'!AC17</f>
        <v>0</v>
      </c>
      <c r="AD53" s="13">
        <f>'F3'!AD17</f>
        <v>0</v>
      </c>
      <c r="AE53" s="13">
        <f>'F3'!AE17</f>
        <v>0</v>
      </c>
      <c r="AF53" s="14">
        <f>'F3'!AF17</f>
        <v>0</v>
      </c>
    </row>
    <row r="54" spans="1:32" ht="24" customHeight="1" x14ac:dyDescent="0.25">
      <c r="A54" s="13" t="str">
        <f>'F3'!A18</f>
        <v>DOE_Lote_2</v>
      </c>
      <c r="B54" s="13" t="str">
        <f>'F3'!B18</f>
        <v>F3</v>
      </c>
      <c r="C54" s="14" t="str">
        <f>'F3'!C18</f>
        <v>synthetic_viable_biomass_step</v>
      </c>
      <c r="D54" s="13" t="str">
        <f>'F3'!D18</f>
        <v>DOE-LAB006-17</v>
      </c>
      <c r="E54" s="13">
        <f>'F3'!E18</f>
        <v>17</v>
      </c>
      <c r="F54" s="15">
        <f>'F3'!F18</f>
        <v>0</v>
      </c>
      <c r="G54" s="16">
        <f>'F3'!G18</f>
        <v>0</v>
      </c>
      <c r="H54" s="13" t="str">
        <f>'F3'!H18</f>
        <v>pending_manual_entry</v>
      </c>
      <c r="I54" s="13" t="b">
        <f>'F3'!I18</f>
        <v>0</v>
      </c>
      <c r="J54" s="15">
        <f>'F3'!J18</f>
        <v>0</v>
      </c>
      <c r="K54" s="15">
        <f>'F3'!K18</f>
        <v>0</v>
      </c>
      <c r="L54" s="13">
        <f>'F3'!L18</f>
        <v>0</v>
      </c>
      <c r="M54" s="16">
        <f>'F3'!M18</f>
        <v>0</v>
      </c>
      <c r="N54" s="11" t="str">
        <f>'F3'!N18</f>
        <v/>
      </c>
      <c r="O54" s="16">
        <f>'F3'!O18</f>
        <v>0</v>
      </c>
      <c r="P54" s="16">
        <f>'F3'!P18</f>
        <v>0</v>
      </c>
      <c r="Q54" s="16">
        <f>'F3'!Q18</f>
        <v>0</v>
      </c>
      <c r="R54" s="11" t="str">
        <f>'F3'!R18</f>
        <v/>
      </c>
      <c r="S54" s="16">
        <f>'F3'!S18</f>
        <v>0</v>
      </c>
      <c r="T54" s="16">
        <f>'F3'!T18</f>
        <v>0</v>
      </c>
      <c r="U54" s="16">
        <f>'F3'!U18</f>
        <v>0</v>
      </c>
      <c r="V54" s="16">
        <f>'F3'!V18</f>
        <v>0</v>
      </c>
      <c r="W54" s="16">
        <f>'F3'!W18</f>
        <v>0</v>
      </c>
      <c r="X54" s="16">
        <f>'F3'!X18</f>
        <v>0</v>
      </c>
      <c r="Y54" s="11">
        <f>'F3'!Y18</f>
        <v>0</v>
      </c>
      <c r="Z54" s="16">
        <f>'F3'!Z18</f>
        <v>0</v>
      </c>
      <c r="AA54" s="11" t="str">
        <f>'F3'!AA18</f>
        <v/>
      </c>
      <c r="AB54" s="15">
        <f>'F3'!AB18</f>
        <v>0</v>
      </c>
      <c r="AC54" s="13">
        <f>'F3'!AC18</f>
        <v>0</v>
      </c>
      <c r="AD54" s="13">
        <f>'F3'!AD18</f>
        <v>0</v>
      </c>
      <c r="AE54" s="13">
        <f>'F3'!AE18</f>
        <v>0</v>
      </c>
      <c r="AF54" s="14">
        <f>'F3'!AF18</f>
        <v>0</v>
      </c>
    </row>
    <row r="55" spans="1:32" ht="24" customHeight="1" x14ac:dyDescent="0.25">
      <c r="A55" s="13" t="str">
        <f>'F3'!A19</f>
        <v>DOE_Lote_2</v>
      </c>
      <c r="B55" s="13" t="str">
        <f>'F3'!B19</f>
        <v>F3</v>
      </c>
      <c r="C55" s="14" t="str">
        <f>'F3'!C19</f>
        <v>synthetic_viable_biomass_step</v>
      </c>
      <c r="D55" s="13" t="str">
        <f>'F3'!D19</f>
        <v>DOE-LAB006-18</v>
      </c>
      <c r="E55" s="13">
        <f>'F3'!E19</f>
        <v>18</v>
      </c>
      <c r="F55" s="15">
        <f>'F3'!F19</f>
        <v>0</v>
      </c>
      <c r="G55" s="16">
        <f>'F3'!G19</f>
        <v>0</v>
      </c>
      <c r="H55" s="13" t="str">
        <f>'F3'!H19</f>
        <v>pending_manual_entry</v>
      </c>
      <c r="I55" s="13" t="b">
        <f>'F3'!I19</f>
        <v>0</v>
      </c>
      <c r="J55" s="15">
        <f>'F3'!J19</f>
        <v>0</v>
      </c>
      <c r="K55" s="15">
        <f>'F3'!K19</f>
        <v>0</v>
      </c>
      <c r="L55" s="13">
        <f>'F3'!L19</f>
        <v>0</v>
      </c>
      <c r="M55" s="16">
        <f>'F3'!M19</f>
        <v>0</v>
      </c>
      <c r="N55" s="11" t="str">
        <f>'F3'!N19</f>
        <v/>
      </c>
      <c r="O55" s="16">
        <f>'F3'!O19</f>
        <v>0</v>
      </c>
      <c r="P55" s="16">
        <f>'F3'!P19</f>
        <v>0</v>
      </c>
      <c r="Q55" s="16">
        <f>'F3'!Q19</f>
        <v>0</v>
      </c>
      <c r="R55" s="11" t="str">
        <f>'F3'!R19</f>
        <v/>
      </c>
      <c r="S55" s="16">
        <f>'F3'!S19</f>
        <v>0</v>
      </c>
      <c r="T55" s="16">
        <f>'F3'!T19</f>
        <v>0</v>
      </c>
      <c r="U55" s="16">
        <f>'F3'!U19</f>
        <v>0</v>
      </c>
      <c r="V55" s="16">
        <f>'F3'!V19</f>
        <v>0</v>
      </c>
      <c r="W55" s="16">
        <f>'F3'!W19</f>
        <v>0</v>
      </c>
      <c r="X55" s="16">
        <f>'F3'!X19</f>
        <v>0</v>
      </c>
      <c r="Y55" s="11">
        <f>'F3'!Y19</f>
        <v>0</v>
      </c>
      <c r="Z55" s="16">
        <f>'F3'!Z19</f>
        <v>0</v>
      </c>
      <c r="AA55" s="11" t="str">
        <f>'F3'!AA19</f>
        <v/>
      </c>
      <c r="AB55" s="15">
        <f>'F3'!AB19</f>
        <v>0</v>
      </c>
      <c r="AC55" s="13">
        <f>'F3'!AC19</f>
        <v>0</v>
      </c>
      <c r="AD55" s="13">
        <f>'F3'!AD19</f>
        <v>0</v>
      </c>
      <c r="AE55" s="13">
        <f>'F3'!AE19</f>
        <v>0</v>
      </c>
      <c r="AF55" s="14">
        <f>'F3'!AF19</f>
        <v>0</v>
      </c>
    </row>
  </sheetData>
  <autoFilter ref="A1:AF55" xr:uid="{00000000-0009-0000-0000-000004000000}"/>
  <conditionalFormatting sqref="A2:AF55">
    <cfRule type="expression" dxfId="0" priority="1">
      <formula>$I2=FALSE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README</vt:lpstr>
      <vt:lpstr>F1</vt:lpstr>
      <vt:lpstr>F2</vt:lpstr>
      <vt:lpstr>F3</vt:lpstr>
      <vt:lpstr>All_samples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Cristobal Luis Torrealba Vasquez</cp:lastModifiedBy>
  <dcterms:created xsi:type="dcterms:W3CDTF">2026-08-12T00:32:26Z</dcterms:created>
  <dcterms:modified xsi:type="dcterms:W3CDTF">2026-08-12T13:50:05Z</dcterms:modified>
</cp:coreProperties>
</file>